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6"/>
  </bookViews>
  <sheets>
    <sheet name="Summary" sheetId="1" state="visible" r:id="rId3"/>
    <sheet name="V1 - Encoding and Sanitization" sheetId="2" state="visible" r:id="rId4"/>
    <sheet name="V2 - Validation and Business Lo" sheetId="3" state="visible" r:id="rId5"/>
    <sheet name="V3 - Web Frontend Security" sheetId="4" state="visible" r:id="rId6"/>
    <sheet name="V4 - API and Web Service" sheetId="5" state="visible" r:id="rId7"/>
    <sheet name="V5 - File Handling" sheetId="6" state="visible" r:id="rId8"/>
    <sheet name="V6 - Authentication" sheetId="7" state="visible" r:id="rId9"/>
    <sheet name="V7 - Session Management" sheetId="8" state="visible" r:id="rId10"/>
    <sheet name="V8 - Authorization" sheetId="9" state="visible" r:id="rId11"/>
    <sheet name="V9 - Self-contained Tokens" sheetId="10" state="visible" r:id="rId12"/>
    <sheet name="V10 - OAuth and OIDC" sheetId="11" state="visible" r:id="rId13"/>
    <sheet name="V11 - Cryptography" sheetId="12" state="visible" r:id="rId14"/>
    <sheet name="V12 - Secure Communication" sheetId="13" state="visible" r:id="rId15"/>
    <sheet name="V13 - Configuration" sheetId="14" state="visible" r:id="rId16"/>
    <sheet name="V14 - Data Protection" sheetId="15" state="visible" r:id="rId17"/>
    <sheet name="V15 - Secure Coding and Archite" sheetId="16" state="visible" r:id="rId18"/>
    <sheet name="V16 - Security Logging and Erro" sheetId="17" state="visible" r:id="rId19"/>
    <sheet name="V17 - WebRTC"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<sst xmlns="http://schemas.openxmlformats.org/spreadsheetml/2006/main" count="2483" uniqueCount="1162">
  <si>
    <t xml:space="preserve">OWASP ASVS 5.0 – Compliance Tracker</t>
  </si>
  <si>
    <t xml:space="preserve">Chapter</t>
  </si>
  <si>
    <t xml:space="preserve">Total
Reqs</t>
  </si>
  <si>
    <t xml:space="preserve">L1
Total</t>
  </si>
  <si>
    <t xml:space="preserve">L1
Compliant</t>
  </si>
  <si>
    <t xml:space="preserve">L1
%</t>
  </si>
  <si>
    <t xml:space="preserve">L2
Total</t>
  </si>
  <si>
    <t xml:space="preserve">L2
Compliant</t>
  </si>
  <si>
    <t xml:space="preserve">L2
%</t>
  </si>
  <si>
    <t xml:space="preserve">L3
Total</t>
  </si>
  <si>
    <t xml:space="preserve">L3
Compliant</t>
  </si>
  <si>
    <t xml:space="preserve">L3
%</t>
  </si>
  <si>
    <t xml:space="preserve">Overall
Compliant</t>
  </si>
  <si>
    <t xml:space="preserve">Overall
%</t>
  </si>
  <si>
    <t xml:space="preserve">V1 – Encoding and Sanitization</t>
  </si>
  <si>
    <t xml:space="preserve">V2 – Validation and Business Logic</t>
  </si>
  <si>
    <t xml:space="preserve">V3 – Web Frontend Security</t>
  </si>
  <si>
    <t xml:space="preserve">V4 – API and Web Service</t>
  </si>
  <si>
    <t xml:space="preserve">V5 – File Handling</t>
  </si>
  <si>
    <t xml:space="preserve">V6 – Authentication</t>
  </si>
  <si>
    <t xml:space="preserve">V7 – Session Management</t>
  </si>
  <si>
    <t xml:space="preserve">V8 – Authorization</t>
  </si>
  <si>
    <t xml:space="preserve">V9 – Self-contained Tokens</t>
  </si>
  <si>
    <t xml:space="preserve">N/A</t>
  </si>
  <si>
    <t xml:space="preserve">V10 – OAuth and OIDC</t>
  </si>
  <si>
    <t xml:space="preserve">V11 – Cryptography</t>
  </si>
  <si>
    <t xml:space="preserve">V12 – Secure Communication</t>
  </si>
  <si>
    <t xml:space="preserve">V13 – Configuration</t>
  </si>
  <si>
    <t xml:space="preserve">V14 – Data Protection</t>
  </si>
  <si>
    <t xml:space="preserve">V15 – Secure Coding and Architecture</t>
  </si>
  <si>
    <t xml:space="preserve">V16 – Security Logging and Error Handling</t>
  </si>
  <si>
    <t xml:space="preserve">V17 – WebRTC</t>
  </si>
  <si>
    <t xml:space="preserve">TOTAL</t>
  </si>
  <si>
    <t xml:space="preserve">Section ID</t>
  </si>
  <si>
    <t xml:space="preserve">Section Name</t>
  </si>
  <si>
    <t xml:space="preserve">Req ID</t>
  </si>
  <si>
    <t xml:space="preserve">Description</t>
  </si>
  <si>
    <t xml:space="preserve">Level</t>
  </si>
  <si>
    <t xml:space="preserve">Status</t>
  </si>
  <si>
    <t xml:space="preserve">Observations</t>
  </si>
  <si>
    <t xml:space="preserve">Reference / Link</t>
  </si>
  <si>
    <t xml:space="preserve">V1.1</t>
  </si>
  <si>
    <t xml:space="preserve">Encoding and Sanitization Architecture</t>
  </si>
  <si>
    <t xml:space="preserve">V1.1.1</t>
  </si>
  <si>
    <t xml:space="preserve">Verify that input is decoded or unescaped into a canonical form only once, it is only decoded when encoded data in that form is expected, and that this is done before processing the input further, for example it is not performed after input validation or sanitization.</t>
  </si>
  <si>
    <t xml:space="preserve">Compliant</t>
  </si>
  <si>
    <t xml:space="preserve">getSafeOriginalName() uses StringUtils.cleanPath() for canonicalization; Spring/Jackson deserializes JSON input exactly once</t>
  </si>
  <si>
    <t xml:space="preserve">AttachmentService.java:getSafeOriginalName()</t>
  </si>
  <si>
    <t xml:space="preserve">V1.1.2</t>
  </si>
  <si>
    <t xml:space="preserve">Verify that the application performs output encoding and escaping either as a final step before being used by the interpreter for which it is intended or by the interpreter itself.</t>
  </si>
  <si>
    <t xml:space="preserve">JSON responses encoded by Jackson (sufficient for a REST API).</t>
  </si>
  <si>
    <t xml:space="preserve">CommentService.java:addComment()</t>
  </si>
  <si>
    <t xml:space="preserve">V1.2</t>
  </si>
  <si>
    <t xml:space="preserve">Injection Prevention</t>
  </si>
  <si>
    <t xml:space="preserve">V1.2.1</t>
  </si>
  <si>
    <t xml:space="preserve">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</si>
  <si>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 xml:space="preserve">Pure JSON REST API; Jackson handles all output encoding. No HTML or XML responses produced</t>
  </si>
  <si>
    <t xml:space="preserve">SecurityConfig.java, all controllers</t>
  </si>
  <si>
    <t xml:space="preserve">V1.2.2</t>
  </si>
  <si>
    <t xml:space="preserve">Verify that when dynamically building URLs, untrusted data is encoded according to its context (e.g., URL encoding or base64url encoding for query or path parameters). Ensure that only safe URL protocols are permitted (e.g., disallow javascript: or data:).</t>
  </si>
  <si>
    <t xml:space="preserve">Not Applicable</t>
  </si>
  <si>
    <t xml:space="preserve">No dynamic URL construction in the application</t>
  </si>
  <si>
    <t xml:space="preserve">V1.2.3</t>
  </si>
  <si>
    <t xml:space="preserve">Verify that output encoding or escaping is used when dynamically building JavaScript content (including JSON), to avoid changing the message or document structure (to avoid JavaScript and JSON injection).</t>
  </si>
  <si>
    <t xml:space="preserve">No JavaScript context output. REST API only.</t>
  </si>
  <si>
    <t xml:space="preserve">V1.2.4</t>
  </si>
  <si>
    <t xml:space="preserve">Verify that data selection or database queries (e.g., SQL, HQL, NoSQL, Cypher) use parameterized queries, ORMs, entity frameworks, or are otherwise protected from SQL Injection and other database injection attacks. This is also relevant when writing stored procedures.</t>
  </si>
  <si>
    <t xml:space="preserve">JPA/Hibernate used for all DB access</t>
  </si>
  <si>
    <t xml:space="preserve">All *Repository.java files</t>
  </si>
  <si>
    <t xml:space="preserve">V1.2.5</t>
  </si>
  <si>
    <t xml:space="preserve">Verify that the application protects against OS command injection and that operating system calls use parameterized OS queries or use contextual command line output encoding.</t>
  </si>
  <si>
    <t xml:space="preserve">No OS command execution. File ops use Java NIO (Files.createDirectories, file.transferTo)</t>
  </si>
  <si>
    <t xml:space="preserve">AttachmentService.java</t>
  </si>
  <si>
    <t xml:space="preserve">V1.2.6</t>
  </si>
  <si>
    <t xml:space="preserve">Verify that the application protects against LDAP injection vulnerabilities, or that specific security controls to prevent LDAP injection have been implemented.</t>
  </si>
  <si>
    <t xml:space="preserve">No LDAP used</t>
  </si>
  <si>
    <t xml:space="preserve">V1.2.7</t>
  </si>
  <si>
    <t xml:space="preserve">Verify that the application is protected against XPath injection attacks by using query parameterization or precompiled queries.</t>
  </si>
  <si>
    <t xml:space="preserve">No XPath used</t>
  </si>
  <si>
    <t xml:space="preserve">V1.2.8</t>
  </si>
  <si>
    <t xml:space="preserve">Verify that LaTeX processors are configured securely (such as not using the "--shell-escape" flag) and an allowlist of commands is used to prevent LaTeX injection attacks.</t>
  </si>
  <si>
    <t xml:space="preserve">No LaTeX used</t>
  </si>
  <si>
    <t xml:space="preserve">V1.2.9</t>
  </si>
  <si>
    <t xml:space="preserve">Verify that the application escapes special characters in regular expressions (typically using a backslash) to prevent them from being misinterpreted as metacharacters.</t>
  </si>
  <si>
    <t xml:space="preserve">Only regex used is Pattern.compile("@(\\w+)"). Fixed pattern, no user input injected into regex</t>
  </si>
  <si>
    <t xml:space="preserve">CommentService.java:MENTION_PATTERN</t>
  </si>
  <si>
    <t xml:space="preserve">V1.2.10</t>
  </si>
  <si>
    <t xml:space="preserve">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</si>
  <si>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 xml:space="preserve">No CSV export functionality</t>
  </si>
  <si>
    <t xml:space="preserve">V1.3</t>
  </si>
  <si>
    <t xml:space="preserve">Sanitization</t>
  </si>
  <si>
    <t xml:space="preserve">V1.3.1</t>
  </si>
  <si>
    <t xml:space="preserve">Verify that all untrusted HTML input from WYSIWYG editors or similar is sanitized using a well-known and secure HTML sanitization library or framework feature.</t>
  </si>
  <si>
    <t xml:space="preserve">No WYSIWYG editor or HTML input.</t>
  </si>
  <si>
    <t xml:space="preserve">V1.3.2</t>
  </si>
  <si>
    <t xml:space="preserve">Verify that the application avoids the use of eval() or other dynamic code execution features such as Spring Expression Language (SpEL). Where there is no alternative, any user input being included must be sanitized before being executed.</t>
  </si>
  <si>
    <t xml:space="preserve">No eval(), no SpEL with user input. @EnableMethodSecurity used but no user-controlled expressions</t>
  </si>
  <si>
    <t xml:space="preserve">SecurityConfig.java, JwtAuthFilter.java</t>
  </si>
  <si>
    <t xml:space="preserve">V1.3.3</t>
  </si>
  <si>
    <t xml:space="preserve">Verify that data being passed to a potentially dangerous context is sanitized beforehand to enforce safety measures, such as only allowing characters which are safe for this context and trimming input which is too long.</t>
  </si>
  <si>
    <t xml:space="preserve">Input validated via Spring validation and custom checks before use.</t>
  </si>
  <si>
    <t xml:space="preserve">TaskService.validateTitle(), AttachmentService.validateFile()</t>
  </si>
  <si>
    <t xml:space="preserve">V1.3.4</t>
  </si>
  <si>
    <t xml:space="preserve">Verify that user-supplied Scalable Vector Graphics (SVG) scriptable content is validated or sanitized to contain only tags and attributes (such as draw graphics) that are safe for the application, e.g., do not contain scripts and foreignObject.</t>
  </si>
  <si>
    <t xml:space="preserve">No SVG upload or processing.</t>
  </si>
  <si>
    <t xml:space="preserve">V1.3.5</t>
  </si>
  <si>
    <t xml:space="preserve">Verify that the application sanitizes or disables user-supplied scriptable or expression template language content, such as Markdown, CSS or XSL stylesheets, BBCode, or similar.</t>
  </si>
  <si>
    <t xml:space="preserve">No template engine used</t>
  </si>
  <si>
    <t xml:space="preserve">V1.3.6</t>
  </si>
  <si>
    <t xml:space="preserve">Verify that the application protects against Server-side Request Forgery (SSRF) attacks, by validating untrusted data against an allowlist of protocols, domains, paths and ports and sanitizing potentially dangerous characters before using the data to call another service.</t>
  </si>
  <si>
    <t xml:space="preserve">No outbound HTTP calls made by the application</t>
  </si>
  <si>
    <t xml:space="preserve">V1.3.7</t>
  </si>
  <si>
    <t xml:space="preserve">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</si>
  <si>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 xml:space="preserve">No user-controlled templates</t>
  </si>
  <si>
    <t xml:space="preserve">V1.3.8</t>
  </si>
  <si>
    <t xml:space="preserve">Verify that the application appropriately sanitizes untrusted input before use in Java Naming and Directory Interface (JNDI) queries and that JNDI is configured securely to prevent JNDI injection attacks.</t>
  </si>
  <si>
    <t xml:space="preserve">No JNDI lookups.</t>
  </si>
  <si>
    <t xml:space="preserve">V1.3.9</t>
  </si>
  <si>
    <t xml:space="preserve">Verify that the application sanitizes content before it is sent to memcache to prevent injection attacks.</t>
  </si>
  <si>
    <t xml:space="preserve">No memcache usage.</t>
  </si>
  <si>
    <t xml:space="preserve">V1.3.10</t>
  </si>
  <si>
    <t xml:space="preserve">Verify that format strings which might resolve in an unexpected or malicious way when used are sanitized before being processed.</t>
  </si>
  <si>
    <t xml:space="preserve">No user-controlled format strings. String.format() in AttachmentService uses only controlled values (UUID + extension)</t>
  </si>
  <si>
    <t xml:space="preserve">AttachmentService.java:store()</t>
  </si>
  <si>
    <t xml:space="preserve">V1.3.11</t>
  </si>
  <si>
    <t xml:space="preserve">Verify that the application sanitizes user input before passing to mail systems to protect against SMTP or IMAP injection.</t>
  </si>
  <si>
    <t xml:space="preserve">No email/SMTP functionality</t>
  </si>
  <si>
    <t xml:space="preserve">V1.3.12</t>
  </si>
  <si>
    <t xml:space="preserve">Verify that regular expressions are free from elements causing exponential backtracking, and ensure untrusted input is sanitized to mitigate ReDoS or Runaway Regex attacks.</t>
  </si>
  <si>
    <t xml:space="preserve">Only regex is @(\\w+) — simple, no nested quantifiers, no ReDoS risk</t>
  </si>
  <si>
    <t xml:space="preserve">V1.4</t>
  </si>
  <si>
    <t xml:space="preserve">Memory, String, and Unmanaged Code</t>
  </si>
  <si>
    <t xml:space="preserve">V1.4.1</t>
  </si>
  <si>
    <t xml:space="preserve">Verify that the application uses memory-safe string, safer memory copy and pointer arithmetic to detect or prevent stack, buffer, or heap overflows.</t>
  </si>
  <si>
    <t xml:space="preserve">Java/JVM is memory-safe by design, no pointer arithmetic</t>
  </si>
  <si>
    <t xml:space="preserve">V1.4.2</t>
  </si>
  <si>
    <t xml:space="preserve">Verify that sign, range, and input validation techniques are used to prevent integer overflows.</t>
  </si>
  <si>
    <t xml:space="preserve">Java/JVM. No integer overflow via pointer ops; language handles this</t>
  </si>
  <si>
    <t xml:space="preserve">V1.4.3</t>
  </si>
  <si>
    <t xml:space="preserve">Verify that dynamically allocated memory and resources are released, and that references or pointers to freed memory are removed or set to null to prevent dangling pointers and use-after-free vulnerabilities.</t>
  </si>
  <si>
    <t xml:space="preserve">JVM garbage collection; no manual memory management</t>
  </si>
  <si>
    <t xml:space="preserve">V1.5</t>
  </si>
  <si>
    <t xml:space="preserve">Safe Deserialization</t>
  </si>
  <si>
    <t xml:space="preserve">V1.5.1</t>
  </si>
  <si>
    <t xml:space="preserve">Verify that the application configures XML parsers to use a restrictive configuration and that unsafe features such as resolving external entities are disabled to prevent XML eXternal Entity (XXE) attacks.</t>
  </si>
  <si>
    <t xml:space="preserve">Uses Jackson for JSON parsing (default secure config). No XML parsing of untrusted data.</t>
  </si>
  <si>
    <t xml:space="preserve">JwtUtil.java</t>
  </si>
  <si>
    <t xml:space="preserve">V1.5.2</t>
  </si>
  <si>
    <t xml:space="preserve">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</si>
  <si>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 xml:space="preserve">No deserialization of untrusted Java objects. Jackson deserializes to DTOs with known types only.</t>
  </si>
  <si>
    <t xml:space="preserve">All DTOs (CreateCommentRequest, etc.)</t>
  </si>
  <si>
    <t xml:space="preserve">V1.5.3</t>
  </si>
  <si>
    <t xml:space="preserve">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</si>
  <si>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 xml:space="preserve">Single JSON parser (Jackson) used consistently.</t>
  </si>
  <si>
    <t xml:space="preserve">pom.xml</t>
  </si>
  <si>
    <t xml:space="preserve">V2.1</t>
  </si>
  <si>
    <t xml:space="preserve">Validation and Business Logic Documentation</t>
  </si>
  <si>
    <t xml:space="preserve">V2.1.1</t>
  </si>
  <si>
    <t xml:space="preserve">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</si>
  <si>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 xml:space="preserve">Validation rules documented and enforced in code. </t>
  </si>
  <si>
    <t xml:space="preserve">04_SecurityDesign.md, 01_Requirements.md SR-5/SR-6/SR-7, TaskService.java, CommentService.java, AttachmentService.java</t>
  </si>
  <si>
    <t xml:space="preserve">V2.1.2</t>
  </si>
  <si>
    <t xml:space="preserve">Verify that the application's documentation defines how to validate the logical and contextual consistency of combined data items, such as checking that suburb and ZIP code match.</t>
  </si>
  <si>
    <t xml:space="preserve">Contextual rules documented (FR-13, FR-15) and enforced — strict status pipeline, member self-assignment only</t>
  </si>
  <si>
    <t xml:space="preserve">TaskStatus.java, TaskService.java, 01_Requirements.md FR-13/FR-15</t>
  </si>
  <si>
    <t xml:space="preserve">V2.1.3</t>
  </si>
  <si>
    <t xml:space="preserve">Verify that expectations for business logic limits and validations are documented, including both per-user and globally across the application.</t>
  </si>
  <si>
    <t xml:space="preserve">Per-user (10 uploads/hour) and global limits (25MB, 5000 chars) documented in SR-14 and configurable via application.yml</t>
  </si>
  <si>
    <t xml:space="preserve">application.yml, 01_Requirements.md SR-14</t>
  </si>
  <si>
    <t xml:space="preserve">V2.2</t>
  </si>
  <si>
    <t xml:space="preserve">Input Validation</t>
  </si>
  <si>
    <t xml:space="preserve">V2.2.1</t>
  </si>
  <si>
    <t xml:space="preserve">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</si>
  <si>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 xml:space="preserve">All inputs validated in service layer.</t>
  </si>
  <si>
    <t xml:space="preserve">TaskService.java, CommentService.java, AttachmentService.java</t>
  </si>
  <si>
    <t xml:space="preserve">V2.2.2</t>
  </si>
  <si>
    <t xml:space="preserve">Verify that the application is designed to enforce input validation at a trusted service layer. While client-side validation improves usability and should be encouraged, it must not be relied upon as a security control.</t>
  </si>
  <si>
    <t xml:space="preserve">All validation server-side only, no client-side validation exists</t>
  </si>
  <si>
    <t xml:space="preserve">04_SecurityDesign.md</t>
  </si>
  <si>
    <t xml:space="preserve">V2.2.3</t>
  </si>
  <si>
    <t xml:space="preserve">Verify that the application ensures that combinations of related data items are reasonable according to the pre-defined rules.</t>
  </si>
  <si>
    <t xml:space="preserve">Status transitions enforced via TaskStatus.canTransitionTo() in TaskService.changeTaskStatus(). Assignee validated as project member in validateAssignee(). Self-assign restricted to unassigned tasks.</t>
  </si>
  <si>
    <t xml:space="preserve">04_SecurityDesign.md, src/main/java/com/desofs/task/TaskService.java</t>
  </si>
  <si>
    <t xml:space="preserve">V2.3</t>
  </si>
  <si>
    <t xml:space="preserve">Business Logic Security</t>
  </si>
  <si>
    <t xml:space="preserve">V2.3.1</t>
  </si>
  <si>
    <t xml:space="preserve">Verify that the application will only process business logic flows for the same user in the expected sequential step order and without skipping steps.</t>
  </si>
  <si>
    <t xml:space="preserve">Strict one-directional state machine: TODO → IN_PROGRESS → DONE. Reversals rejected</t>
  </si>
  <si>
    <t xml:space="preserve">V2.3.2</t>
  </si>
  <si>
    <t xml:space="preserve">Verify that business logic limits are implemented per the application's documentation to avoid business logic flaws being exploited.</t>
  </si>
  <si>
    <t xml:space="preserve">All limits enforced: upload rate (10/hr), file size (25MB), comment (5000 chars), title (255 chars)</t>
  </si>
  <si>
    <t xml:space="preserve">AttachmentService.java, CommentService.java</t>
  </si>
  <si>
    <t xml:space="preserve">V2.3.3</t>
  </si>
  <si>
    <t xml:space="preserve">Verify that transactions are being used at the business logic level such that either a business logic operation succeeds in its entirety or it is rolled back to the previous correct state.</t>
  </si>
  <si>
    <t xml:space="preserve">DB operations fully transactional.</t>
  </si>
  <si>
    <t xml:space="preserve">V2.3.4</t>
  </si>
  <si>
    <t xml:space="preserve">Verify that business logic level locking mechanisms are used to ensure that limited quantity resources (such as theater seats or delivery slots) cannot be double-booked by manipulating the application's logic.</t>
  </si>
  <si>
    <t xml:space="preserve">No finite-quantity resources in this application</t>
  </si>
  <si>
    <t xml:space="preserve">V2.3.5</t>
  </si>
  <si>
    <t xml:space="preserve">Verify that high-value business logic flows require multi-user approval to prevent unauthorized or accidental actions. This could include but is not limited to large monetary transfers, contract approvals, access to classified information, or safety overrides in manufacturing.</t>
  </si>
  <si>
    <t xml:space="preserve">No high-value flows requiring multi-user approval</t>
  </si>
  <si>
    <t xml:space="preserve">V2.4</t>
  </si>
  <si>
    <t xml:space="preserve">Anti-automation</t>
  </si>
  <si>
    <t xml:space="preserve">V2.4.1</t>
  </si>
  <si>
    <t xml:space="preserve">Verify that anti-automation controls are in place to protect against excessive calls to application functions that could lead to data exfiltration, garbage-data creation, quota exhaustion, rate-limit breaches, denial-of-service, or overuse of costly resources.</t>
  </si>
  <si>
    <t xml:space="preserve">In Progress</t>
  </si>
  <si>
    <t xml:space="preserve">Upload rate limiting implemented (10/hour per user via enforceUploadRateLimit()). Login endpoint has no rate limiting despite being documented in EntryPoints.md and 04_SecurityDesign.md </t>
  </si>
  <si>
    <t xml:space="preserve">AttachmentService.java:enforceUploadRateLimit(), SecurityConfig.java</t>
  </si>
  <si>
    <t xml:space="preserve">V2.4.2</t>
  </si>
  <si>
    <t xml:space="preserve">Verify that business logic flows require realistic human timing, preventing excessively rapid transaction submissions.</t>
  </si>
  <si>
    <t xml:space="preserve">No transaction timing requirements for business flows.</t>
  </si>
  <si>
    <t xml:space="preserve">V3.1</t>
  </si>
  <si>
    <t xml:space="preserve">Web Frontend Security Documentation</t>
  </si>
  <si>
    <t xml:space="preserve">V3.1.1</t>
  </si>
  <si>
    <t xml:space="preserve">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</si>
  <si>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 xml:space="preserve">API-only backend. No browser frontend.</t>
  </si>
  <si>
    <t xml:space="preserve">V3.2</t>
  </si>
  <si>
    <t xml:space="preserve">Unintended Content Interpretation</t>
  </si>
  <si>
    <t xml:space="preserve">V3.2.1</t>
  </si>
  <si>
    <t xml:space="preserve">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</si>
  <si>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 xml:space="preserve">API-only. No HTML rendering.</t>
  </si>
  <si>
    <t xml:space="preserve">V3.2.2</t>
  </si>
  <si>
    <t xml:space="preserve">Verify that content intended to be displayed as text, rather than rendered as HTML, is handled using safe rendering functions (such as createTextNode or textContent) to prevent unintended execution of content such as HTML or JavaScript.</t>
  </si>
  <si>
    <t xml:space="preserve">API-only. No DOM manipulation.</t>
  </si>
  <si>
    <t xml:space="preserve">V3.2.3</t>
  </si>
  <si>
    <t xml:space="preserve">Verify that the application avoids DOM clobbering when using client-side JavaScript by employing explicit variable declarations, performing strict type checking, avoiding storing global variables on the document object, and implementing namespace isolation.</t>
  </si>
  <si>
    <t xml:space="preserve">API-only. No client-side JavaScript.</t>
  </si>
  <si>
    <t xml:space="preserve">V3.3</t>
  </si>
  <si>
    <t xml:space="preserve">Cookie Setup</t>
  </si>
  <si>
    <t xml:space="preserve">V3.3.1</t>
  </si>
  <si>
    <t xml:space="preserve">Verify that cookies have the 'Secure' attribute set, and if the '\__Host-' prefix is not used for the cookie name, the '__Secure-' prefix must be used for the cookie name.</t>
  </si>
  <si>
    <t xml:space="preserve">API-only. No cookies (Bearer tokens in Authorization header).</t>
  </si>
  <si>
    <t xml:space="preserve">V3.3.2</t>
  </si>
  <si>
    <t xml:space="preserve">Verify that each cookie's 'SameSite' attribute value is set according to the purpose of the cookie, to limit exposure to user interface redress attacks and browser-based request forgery attacks, commonly known as cross-site request forgery (CSRF).</t>
  </si>
  <si>
    <t xml:space="preserve">No cookies used.</t>
  </si>
  <si>
    <t xml:space="preserve">V3.3.3</t>
  </si>
  <si>
    <t xml:space="preserve">Verify that cookies have the '__Host-' prefix for the cookie name unless they are explicitly designed to be shared with other hosts.</t>
  </si>
  <si>
    <t xml:space="preserve">V3.3.4</t>
  </si>
  <si>
    <t xml:space="preserve">Verify that if the value of a cookie is not meant to be accessible to client-side scripts (such as a session token), the cookie must have the 'HttpOnly' attribute set and the same value (e. g. session token) must only be transferred to the client via the 'Set-Cookie' header field.</t>
  </si>
  <si>
    <t xml:space="preserve">V3.3.5</t>
  </si>
  <si>
    <t xml:space="preserve">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</si>
  <si>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 xml:space="preserve">V3.4</t>
  </si>
  <si>
    <t xml:space="preserve">Browser Security Mechanism Headers</t>
  </si>
  <si>
    <t xml:space="preserve">V3.4.1</t>
  </si>
  <si>
    <t xml:space="preserve">Verify that a Strict-Transport-Security header field is included on all responses to enforce an HTTP Strict Transport Security (HSTS) policy. A maximum age of at least 1 year must be defined, and for L2 and up, the policy must apply to all subdomains as well.</t>
  </si>
  <si>
    <t xml:space="preserve">API-only. HSTS would be configured at reverse proxy/nginx level, not application.</t>
  </si>
  <si>
    <t xml:space="preserve">V3.4.2</t>
  </si>
  <si>
    <t xml:space="preserve">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</si>
  <si>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 xml:space="preserve">API-only. CORS not configured in app (would need to be added for SPA frontend).</t>
  </si>
  <si>
    <t xml:space="preserve">V3.4.3</t>
  </si>
  <si>
    <t xml:space="preserve">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</si>
  <si>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 xml:space="preserve">API-only. No CSP needed without HTML rendering.</t>
  </si>
  <si>
    <t xml:space="preserve">V3.4.4</t>
  </si>
  <si>
    <t xml:space="preserve">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</si>
  <si>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 xml:space="preserve">API-only. No content sniffing risk for JSON responses.</t>
  </si>
  <si>
    <t xml:space="preserve">V3.4.5</t>
  </si>
  <si>
    <t xml:space="preserve">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</si>
  <si>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 xml:space="preserve">API-only. No Referrer-Policy needed.</t>
  </si>
  <si>
    <t xml:space="preserve">V3.4.6</t>
  </si>
  <si>
    <t xml:space="preserve">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</si>
  <si>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 xml:space="preserve">API-only. No frame-ancestors needed.</t>
  </si>
  <si>
    <t xml:space="preserve">V3.4.7</t>
  </si>
  <si>
    <t xml:space="preserve">Verify that the Content-Security-Policy header field specifies a location to report violations.</t>
  </si>
  <si>
    <t xml:space="preserve">No CSP.</t>
  </si>
  <si>
    <t xml:space="preserve">V3.4.8</t>
  </si>
  <si>
    <t xml:space="preserve">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</si>
  <si>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 xml:space="preserve">API-only. No COOP needed.</t>
  </si>
  <si>
    <t xml:space="preserve">V3.5</t>
  </si>
  <si>
    <t xml:space="preserve">Browser Origin Separation</t>
  </si>
  <si>
    <t xml:space="preserve">V3.5.1</t>
  </si>
  <si>
    <t xml:space="preserve">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</si>
  <si>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 xml:space="preserve">API-only. No CSRF risk for stateless JWT API (no cookies/session).</t>
  </si>
  <si>
    <t xml:space="preserve">V3.5.2</t>
  </si>
  <si>
    <t xml:space="preserve">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</si>
  <si>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 xml:space="preserve">No CORS preflight reliance.</t>
  </si>
  <si>
    <t xml:space="preserve">V3.5.3</t>
  </si>
  <si>
    <t xml:space="preserve">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</si>
  <si>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 xml:space="preserve">POST/PUT/PATCH/DELETE used appropriately. GET only for reads.</t>
  </si>
  <si>
    <t xml:space="preserve">V3.5.4</t>
  </si>
  <si>
    <t xml:space="preserve">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</si>
  <si>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 xml:space="preserve">Single application. No separate hostname separation.</t>
  </si>
  <si>
    <t xml:space="preserve">V3.5.5</t>
  </si>
  <si>
    <t xml:space="preserve">Verify that messages received by the postMessage interface are discarded if the origin of the message is not trusted, or if the syntax of the message is invalid.</t>
  </si>
  <si>
    <t xml:space="preserve">No postMessage usage.</t>
  </si>
  <si>
    <t xml:space="preserve">V3.5.6</t>
  </si>
  <si>
    <t xml:space="preserve">Verify that JSONP functionality is not enabled anywhere across the application to avoid Cross-Site Script Inclusion (XSSI) attacks.</t>
  </si>
  <si>
    <t xml:space="preserve">No JSONP.</t>
  </si>
  <si>
    <t xml:space="preserve">V3.5.7</t>
  </si>
  <si>
    <t xml:space="preserve">Verify that data requiring authorization is not included in script resource responses, like JavaScript files, to prevent Cross-Site Script Inclusion (XSSI) attacks.</t>
  </si>
  <si>
    <t xml:space="preserve">No script resources with auth data.</t>
  </si>
  <si>
    <t xml:space="preserve">V3.5.8</t>
  </si>
  <si>
    <t xml:space="preserve">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</si>
  <si>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 xml:space="preserve">No authenticated resources served to browsers.</t>
  </si>
  <si>
    <t xml:space="preserve">V3.6</t>
  </si>
  <si>
    <t xml:space="preserve">External Resource Integrity</t>
  </si>
  <si>
    <t xml:space="preserve">V3.6.1</t>
  </si>
  <si>
    <t xml:space="preserve">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</si>
  <si>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 xml:space="preserve">No external client-side assets. API-only.</t>
  </si>
  <si>
    <t xml:space="preserve">V3.7</t>
  </si>
  <si>
    <t xml:space="preserve">Other Browser Security Considerations</t>
  </si>
  <si>
    <t xml:space="preserve">V3.7.1</t>
  </si>
  <si>
    <t xml:space="preserve">Verify that the application only uses client-side technologies which are still supported and considered secure. Examples of technologies which do not meet this requirement include NSAPI plugins, Flash, Shockwave, ActiveX, Silverlight, NACL, or client-side Java applets.</t>
  </si>
  <si>
    <t xml:space="preserve">No client-side technologies.</t>
  </si>
  <si>
    <t xml:space="preserve">V3.7.2</t>
  </si>
  <si>
    <t xml:space="preserve">Verify that the application will only automatically redirect the user to a different hostname or domain (which is not controlled by the application) where the destination appears on an allowlist.</t>
  </si>
  <si>
    <t xml:space="preserve">No redirects in API.</t>
  </si>
  <si>
    <t xml:space="preserve">V3.7.3</t>
  </si>
  <si>
    <t xml:space="preserve">Verify that the application shows a notification when the user is being redirected to a URL outside of the application's control, with an option to cancel the navigation.</t>
  </si>
  <si>
    <t xml:space="preserve">No redirects.</t>
  </si>
  <si>
    <t xml:space="preserve">V3.7.4</t>
  </si>
  <si>
    <t xml:space="preserve">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</si>
  <si>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 xml:space="preserve">No HSTS preload (API-only).</t>
  </si>
  <si>
    <t xml:space="preserve">V3.7.5</t>
  </si>
  <si>
    <t xml:space="preserve">Verify that the application behaves as documented (such as warning the user or blocking access) if the browser used to access the application does not support the expected security features.</t>
  </si>
  <si>
    <t xml:space="preserve">No browser feature detection needed.</t>
  </si>
  <si>
    <t xml:space="preserve">V4.1</t>
  </si>
  <si>
    <t xml:space="preserve">Generic Web Service Security</t>
  </si>
  <si>
    <t xml:space="preserve">V4.1.1</t>
  </si>
  <si>
    <t xml:space="preserve">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</si>
  <si>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 xml:space="preserve"> Spring Boot sets Content-Type: application/json automatically. Jackson uses UTF-8.</t>
  </si>
  <si>
    <t xml:space="preserve">AttachmentController.java:downloadAttachment()</t>
  </si>
  <si>
    <t xml:space="preserve">V4.1.2</t>
  </si>
  <si>
    <t xml:space="preserve">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</si>
  <si>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 xml:space="preserve">No HTTPS redirect configured — HTTP allowed in development. Planned for Sprint 2</t>
  </si>
  <si>
    <t xml:space="preserve">SecurityConfig.java, 04_SecurityDesign.md</t>
  </si>
  <si>
    <t xml:space="preserve">V4.1.3</t>
  </si>
  <si>
    <t xml:space="preserve">Verify that any HTTP header field used by the application and set by an intermediary layer, such as a load balancer, a web proxy, or a backend-for-frontend service, cannot be overridden by the end-user. Example headers might include X-Real-IP, X-Forwarded-*, or X-User-ID.</t>
  </si>
  <si>
    <t xml:space="preserve">No load balancer or intermediary proxy in current deployment</t>
  </si>
  <si>
    <t xml:space="preserve">V4.1.4</t>
  </si>
  <si>
    <t xml:space="preserve">Verify that only HTTP methods that are explicitly supported by the application or its API (including OPTIONS during preflight requests) can be used and that unused methods are blocked.</t>
  </si>
  <si>
    <t xml:space="preserve">Spring Boot enables standard methods by default. No explicit HTTP method allowlist configured restricting to only used methods</t>
  </si>
  <si>
    <t xml:space="preserve">SecurityConfig.java, </t>
  </si>
  <si>
    <t xml:space="preserve">V4.1.5</t>
  </si>
  <si>
    <t xml:space="preserve">Verify that per-message digital signatures are used to provide additional assurance on top of transport protections for requests or transactions which are highly sensitive or which traverse a number of systems.</t>
  </si>
  <si>
    <t xml:space="preserve">No per-message digital signatures — JWT covers authentication, not per-message signing</t>
  </si>
  <si>
    <t xml:space="preserve">V4.2</t>
  </si>
  <si>
    <t xml:space="preserve">HTTP Message Structure Validation</t>
  </si>
  <si>
    <t xml:space="preserve">V4.2.1</t>
  </si>
  <si>
    <t xml:space="preserve">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</si>
  <si>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 xml:space="preserve">No load balancer in current deployment scope</t>
  </si>
  <si>
    <t xml:space="preserve">V4.2.2</t>
  </si>
  <si>
    <t xml:space="preserve">Verify that when generating HTTP messages, the Content-Length header field does not conflict with the length of the content as determined by the framing of the HTTP protocol, in order to prevent request smuggling attacks.</t>
  </si>
  <si>
    <t xml:space="preserve">HTTP/2 and HTTP/3 not configured — app runs plain HTTP/1.1 in development</t>
  </si>
  <si>
    <t xml:space="preserve">application.yml</t>
  </si>
  <si>
    <t xml:space="preserve">V4.2.3</t>
  </si>
  <si>
    <t xml:space="preserve">Verify that the application does not send nor accept HTTP/2 or HTTP/3 messages with connection-specific header fields such as Transfer-Encoding to prevent response splitting and header injection attacks.</t>
  </si>
  <si>
    <t xml:space="preserve">V4.2.4</t>
  </si>
  <si>
    <t xml:space="preserve">Verify that the application only accepts HTTP/2 and HTTP/3 requests where the header fields and values do not contain any CR (\r), LF (\n), or CRLF (\r\n) sequences, to prevent header injection attacks.</t>
  </si>
  <si>
    <t xml:space="preserve">V4.2.5</t>
  </si>
  <si>
    <t xml:space="preserve">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</si>
  <si>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 xml:space="preserve">V4.3</t>
  </si>
  <si>
    <t xml:space="preserve">GraphQL</t>
  </si>
  <si>
    <t xml:space="preserve">V4.3.1</t>
  </si>
  <si>
    <t xml:space="preserve">Verify that a query allowlist, depth limiting, amount limiting, or query cost analysis is used to prevent GraphQL or data layer expression Denial of Service (DoS) as a result of expensive, nested queries.</t>
  </si>
  <si>
    <t xml:space="preserve">No GraphQL used</t>
  </si>
  <si>
    <t xml:space="preserve">V4.3.2</t>
  </si>
  <si>
    <t xml:space="preserve">Verify that GraphQL introspection queries are disabled in the production environment unless the GraphQL API is meant to be used by other parties.</t>
  </si>
  <si>
    <t xml:space="preserve">V4.4</t>
  </si>
  <si>
    <t xml:space="preserve">WebSocket</t>
  </si>
  <si>
    <t xml:space="preserve">V4.4.1</t>
  </si>
  <si>
    <t xml:space="preserve">Verify that WebSocket over TLS (WSS) is used for all WebSocket connections.</t>
  </si>
  <si>
    <t xml:space="preserve">No WebSockets used</t>
  </si>
  <si>
    <t xml:space="preserve">V4.4.2</t>
  </si>
  <si>
    <t xml:space="preserve">Verify that, during the initial HTTP WebSocket handshake, the Origin header field is checked against a list of origins allowed for the application.</t>
  </si>
  <si>
    <t xml:space="preserve">V4.4.3</t>
  </si>
  <si>
    <t xml:space="preserve">Verify that, if the application's standard session management cannot be used, dedicated tokens are being used for this, which comply with the relevant Session Management security requirements.</t>
  </si>
  <si>
    <t xml:space="preserve">V4.4.4</t>
  </si>
  <si>
    <t xml:space="preserve">Verify that dedicated WebSocket session management tokens are initially obtained or validated through the previously authenticated HTTPS session when transitioning an existing HTTPS session to a WebSocket channel.</t>
  </si>
  <si>
    <t xml:space="preserve">V5.1</t>
  </si>
  <si>
    <t xml:space="preserve">File Handling Documentation</t>
  </si>
  <si>
    <t xml:space="preserve"> </t>
  </si>
  <si>
    <t xml:space="preserve">V5.1.1</t>
  </si>
  <si>
    <t xml:space="preserve">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</si>
  <si>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 xml:space="preserve">2</t>
  </si>
  <si>
    <t xml:space="preserve">Permitted types, extensions and max size documented and enforced. Whitelist: pdf, doc, docx, xls, xlsx, ppt, pptx, jpg, jpeg, png, gif. Max: 25MB</t>
  </si>
  <si>
    <t xml:space="preserve">04_SecurityDesign.md, 01_Requirements.md SR-5/SR-6, AttachmentStorageProperties.java</t>
  </si>
  <si>
    <t xml:space="preserve">V5.2</t>
  </si>
  <si>
    <t xml:space="preserve">File Upload and Content</t>
  </si>
  <si>
    <t xml:space="preserve">V5.2.1</t>
  </si>
  <si>
    <t xml:space="preserve">Verify that the application will only accept files of a size which it can process without causing a loss of performance or a denial of service attack.</t>
  </si>
  <si>
    <t xml:space="preserve">1</t>
  </si>
  <si>
    <t xml:space="preserve">25MB limit enforced at two layers: service (validateFile()) and Spring multipart (application.yml). Exceeding limit returns 413</t>
  </si>
  <si>
    <t xml:space="preserve">AttachmentService.java:validateFile(), application.yml, AttachmentController.java:handleMaxUploadSizeExceeded()</t>
  </si>
  <si>
    <t xml:space="preserve">V5.2.2</t>
  </si>
  <si>
    <t xml:space="preserve">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</si>
  <si>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 xml:space="preserve">Extension extracted and validated against allowlist. MIME type verified to match extension. Archives not in whitelist so rejected entirely</t>
  </si>
  <si>
    <t xml:space="preserve">AttachmentService.java:getExtension(), validateFile()</t>
  </si>
  <si>
    <t xml:space="preserve">V5.2.3</t>
  </si>
  <si>
    <t xml:space="preserve">Verify that the application checks compressed files (e.g., zip, gz, docx, odt) against maximum allowed uncompressed size and against maximum number of files before uncompressing the file.</t>
  </si>
  <si>
    <t xml:space="preserve">No archive/zip decompression performed. Archives not in allowed extensions whitelist</t>
  </si>
  <si>
    <t xml:space="preserve">V5.2.4</t>
  </si>
  <si>
    <t xml:space="preserve">Verify that a file size quota and maximum number of files per user are enforced to ensure that a single user cannot fill up the storage with too many files, or excessively large files.</t>
  </si>
  <si>
    <t xml:space="preserve">3</t>
  </si>
  <si>
    <t xml:space="preserve">Upload rate limit enforced (10/hour per user). No total storage quota per user. The Application enforces a maximum file size per upload (25MB)</t>
  </si>
  <si>
    <t xml:space="preserve">AttachmentService.java:enforceUploadRateLimit(), AAttachmentStorageProperties.java</t>
  </si>
  <si>
    <t xml:space="preserve">V5.2.5</t>
  </si>
  <si>
    <t xml:space="preserve">Verify that the application does not allow uploading compressed files containing symlinks unless this is specifically required (in which case it will be necessary to enforce an allowlist of the files that can be symlinked to).</t>
  </si>
  <si>
    <t xml:space="preserve">No compressed file uploads permitted</t>
  </si>
  <si>
    <t xml:space="preserve">V5.2.6</t>
  </si>
  <si>
    <t xml:space="preserve">Verify that the application rejects uploaded images with a pixel size larger than the maximum allowed, to prevent pixel flood attacks.</t>
  </si>
  <si>
    <t xml:space="preserve">Not Started</t>
  </si>
  <si>
    <t xml:space="preserve">No pixel dimension validation on images. Byte size limit only (25MB).</t>
  </si>
  <si>
    <t xml:space="preserve">AttachmentService.java:validateFile()</t>
  </si>
  <si>
    <t xml:space="preserve">V5.3</t>
  </si>
  <si>
    <t xml:space="preserve">File Storage</t>
  </si>
  <si>
    <t xml:space="preserve">V5.3.1</t>
  </si>
  <si>
    <t xml:space="preserve">Verify that files uploaded or generated by untrusted input and stored in a public folder, are not executed as server-side program code when accessed directly with an HTTP request.</t>
  </si>
  <si>
    <t xml:space="preserve">Files served only via authenticated endpoint — no direct URL access. No execution path exists. resolveStoragePath() ensures files stay within storageRoot</t>
  </si>
  <si>
    <t xml:space="preserve">AttachmentService.java:resolveStoragePath(), AttachmentController.java:downloadAttachment()</t>
  </si>
  <si>
    <t xml:space="preserve">V5.3.2</t>
  </si>
  <si>
    <t xml:space="preserve">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</si>
  <si>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 xml:space="preserve">Stored filename is always UUID.randomUUID() + extension. Original name stored separately in DB only. getSafeOriginalName() rejects /, \, ..</t>
  </si>
  <si>
    <t xml:space="preserve">AttachmentService.java:store(), getSafeOriginalName()</t>
  </si>
  <si>
    <t xml:space="preserve">V5.3.3</t>
  </si>
  <si>
    <t xml:space="preserve">Verify that server-side file processing, such as file decompression, ignores user-provided path information to prevent vulnerabilities such as zip slip.</t>
  </si>
  <si>
    <t xml:space="preserve">No archive decompression performed</t>
  </si>
  <si>
    <t xml:space="preserve">V5.4</t>
  </si>
  <si>
    <t xml:space="preserve">File Download</t>
  </si>
  <si>
    <t xml:space="preserve">V5.4.1</t>
  </si>
  <si>
    <t xml:space="preserve">Verify that the application validates or ignores user-submitted filenames, including in a JSON, JSONP, or URL parameter and specifies a filename in the Content-Disposition header field in the response.</t>
  </si>
  <si>
    <t xml:space="preserve">User-submitted filename sanitized on upload (getSafeOriginalName() rejects path traversal). Served via Content-Disposition: attachment header, not as executable</t>
  </si>
  <si>
    <t xml:space="preserve">AttachmentController.java:downloadAttachment(), AttachmentService.java:getSafeOriginalName()</t>
  </si>
  <si>
    <t xml:space="preserve">V5.4.2</t>
  </si>
  <si>
    <t xml:space="preserve">Verify that file names served (e.g., in HTTP response header fields or email attachments) are encoded or sanitized (e.g., following RFC 6266) to preserve document structure and prevent injection attacks.</t>
  </si>
  <si>
    <t xml:space="preserve">Spring ContentDisposition.filename() provides basic encoding. </t>
  </si>
  <si>
    <t xml:space="preserve">V5.4.3</t>
  </si>
  <si>
    <t xml:space="preserve">Verify that files obtained from untrusted sources are scanned by antivirus scanners to prevent serving of known malicious content.</t>
  </si>
  <si>
    <t xml:space="preserve">No antivirus scanning. MIME type and extension validation only.</t>
  </si>
  <si>
    <t xml:space="preserve">AttachmentService.java:validateFile(), Deliverables/Phase2/03_Security_Review_Findings.md</t>
  </si>
  <si>
    <t xml:space="preserve">V6.1</t>
  </si>
  <si>
    <t xml:space="preserve">Authentication Documentation</t>
  </si>
  <si>
    <t xml:space="preserve">V6.1.1</t>
  </si>
  <si>
    <t xml:space="preserve">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</si>
  <si>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 xml:space="preserve">04_SecurityDesign.md and 06_SecurityTesting.md explicitly document rate limiting (5/min per user, 20/hour per IP, 15-min lockout) and account lockout.</t>
  </si>
  <si>
    <t xml:space="preserve">04_SecurityDesign.md, 06_SecurityTesting.md</t>
  </si>
  <si>
    <t xml:space="preserve">V6.1.2</t>
  </si>
  <si>
    <t xml:space="preserve">Verify that a list of context-specific words is documented in order to prevent their use in passwords. The list could include permutations of organization names, product names, system identifiers, project codenames, department or role names, and similar.</t>
  </si>
  <si>
    <t xml:space="preserve">Passwords are validated to block context-specific words (organization, project, system, role names, etc.)</t>
  </si>
  <si>
    <t xml:space="preserve">forbiddenpasswordwords.java, AuthService.java</t>
  </si>
  <si>
    <t xml:space="preserve">V6.1.3</t>
  </si>
  <si>
    <t xml:space="preserve">Verify that, if the application includes multiple authentication pathways, these are all documented together with the security controls and authentication strength which must be consistently enforced across them.</t>
  </si>
  <si>
    <t xml:space="preserve">A single JWT Bearer authentication pathway is fully documented in 03_Architecture.md, 05_API_Specifications.md, and implemented consistently in SecurityConfig.java and JwtAuthFilter.java.</t>
  </si>
  <si>
    <t xml:space="preserve">03_Architecture.md, 05_API_Specifications.md</t>
  </si>
  <si>
    <t xml:space="preserve">V6.2</t>
  </si>
  <si>
    <t xml:space="preserve">Password Security</t>
  </si>
  <si>
    <t xml:space="preserve">V6.2.1</t>
  </si>
  <si>
    <t xml:space="preserve">Verify that user set passwords are at least 8 characters in length although a minimum of 15 characters is strongly recommended.</t>
  </si>
  <si>
    <t xml:space="preserve">No password length validation exists in AuthService.register(). 04_SecurityDesign.md specifies a minimum of 12 characters, but this is not enforced in code.</t>
  </si>
  <si>
    <t xml:space="preserve">AuthService.java</t>
  </si>
  <si>
    <t xml:space="preserve">V6.2.2</t>
  </si>
  <si>
    <t xml:space="preserve">Verify that users can change their password.</t>
  </si>
  <si>
    <t xml:space="preserve">No password change endpoint or functionality exists in the API specifications or source code.</t>
  </si>
  <si>
    <t xml:space="preserve">05_API_Specifications.md</t>
  </si>
  <si>
    <t xml:space="preserve">V6.2.3</t>
  </si>
  <si>
    <t xml:space="preserve">Verify that password change functionality requires the user's current and new password.</t>
  </si>
  <si>
    <t xml:space="preserve">Password change functionality is not implemented.</t>
  </si>
  <si>
    <t xml:space="preserve">-</t>
  </si>
  <si>
    <t xml:space="preserve">V6.2.4</t>
  </si>
  <si>
    <t xml:space="preserve">Verify that passwords submitted during account registration or password change are checked against an available set of, at least, the top 3000 passwords which match the application's password policy, e.g. minimum length.</t>
  </si>
  <si>
    <t xml:space="preserve">Common/breached password checking (top 100000) is implemented.</t>
  </si>
  <si>
    <t xml:space="preserve">AuthService.java, ForbiddenPasswordWords.java, forbidden-passwords.txt</t>
  </si>
  <si>
    <t xml:space="preserve">V6.2.5</t>
  </si>
  <si>
    <t xml:space="preserve">Verify that passwords of any composition can be used, without rules limiting the type of characters permitted. There must be no requirement for a minimum number of upper or lower case characters, numbers, or special characters.</t>
  </si>
  <si>
    <t xml:space="preserve">04_SecurityDesign.md explicitly mandates composition rules (uppercase, lowercase, digits, special chars), which violates this requirement. The code does not enforce them, but the documented policy is non-compliant.</t>
  </si>
  <si>
    <t xml:space="preserve">V6.2.6</t>
  </si>
  <si>
    <t xml:space="preserve">Verify that password input fields use type=password to mask the entry. Applications may allow the user to temporarily view the entire masked password, or the last typed character of the password.</t>
  </si>
  <si>
    <t xml:space="preserve">Frontend implementation was not provided in the uploaded project files.</t>
  </si>
  <si>
    <t xml:space="preserve">V6.2.7</t>
  </si>
  <si>
    <t xml:space="preserve">Verify that "paste" functionality, browser password helpers, and external password managers are permitted.</t>
  </si>
  <si>
    <t xml:space="preserve">V6.2.8</t>
  </si>
  <si>
    <t xml:space="preserve">Verify that the application verifies the user's password exactly as received from the user, without any modifications such as truncation or case transformation.</t>
  </si>
  <si>
    <t xml:space="preserve">AuthService.login() passes the submitted password directly to passwordEncoder.matches() without truncation, case transformation, or other modification.</t>
  </si>
  <si>
    <t xml:space="preserve">V6.2.9</t>
  </si>
  <si>
    <t xml:space="preserve">Verify that passwords of at least 64 characters are permitted.</t>
  </si>
  <si>
    <t xml:space="preserve">No maximum password length is enforced in the code. BCryptPasswordEncoder supports passwords up to 72 bytes, so 64-character passwords are permitted.</t>
  </si>
  <si>
    <t xml:space="preserve">V6.2.10</t>
  </si>
  <si>
    <t xml:space="preserve">Verify that a user's password stays valid until it is discovered to be compromised or the user rotates it. The application must not require periodic credential rotation.</t>
  </si>
  <si>
    <t xml:space="preserve">No password expiration or periodic rotation policy is enforced in the application.</t>
  </si>
  <si>
    <t xml:space="preserve">V6.2.11</t>
  </si>
  <si>
    <t xml:space="preserve">Verify that the documented list of context specific words is used to prevent easy to guess passwords being created.</t>
  </si>
  <si>
    <t xml:space="preserve">No context-specific word list or dictionary check exists.</t>
  </si>
  <si>
    <t xml:space="preserve">V6.2.12</t>
  </si>
  <si>
    <t xml:space="preserve">Verify that passwords submitted during account registration or password changes are checked against a set of breached passwords.</t>
  </si>
  <si>
    <t xml:space="preserve">No breached password detection (e.g., HaveIBeenPwned API or local hash database) is implemented.</t>
  </si>
  <si>
    <t xml:space="preserve">V6.3</t>
  </si>
  <si>
    <t xml:space="preserve">General Authentication Security</t>
  </si>
  <si>
    <t xml:space="preserve">V6.3.1</t>
  </si>
  <si>
    <t xml:space="preserve">Verify that controls to prevent attacks such as credential stuffing and password brute force are implemented according to the application's security documentation.</t>
  </si>
  <si>
    <t xml:space="preserve">Rate limiting and lockout are documented but no implementation exists in AuthController.java, SecurityConfig.java, or any Spring Security filter/interceptor.</t>
  </si>
  <si>
    <t xml:space="preserve">SecurityConfig.java, AuthController.java</t>
  </si>
  <si>
    <t xml:space="preserve">V6.3.2</t>
  </si>
  <si>
    <t xml:space="preserve">Verify that default user accounts (e.g., "root", "admin", or "sa") are not present in the application or are disabled.</t>
  </si>
  <si>
    <t xml:space="preserve">DataBootstrap.java creates hardcoded default accounts (admin@example.com, manager@example.com, user@example.com) with weak passwords on every non-test startup. They are active and never disabled.</t>
  </si>
  <si>
    <t xml:space="preserve">DataBootstrap.java</t>
  </si>
  <si>
    <t xml:space="preserve">V6.3.3</t>
  </si>
  <si>
    <t xml:space="preserve">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</si>
  <si>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 xml:space="preserve">Only single-factor JWT authentication exists. No MFA or combination of single-factor mechanisms is implemented.</t>
  </si>
  <si>
    <t xml:space="preserve">V6.3.4</t>
  </si>
  <si>
    <t xml:space="preserve">Verify that, if the application includes multiple authentication pathways, there are no undocumented pathways and that security controls and authentication strength are enforced consistently.</t>
  </si>
  <si>
    <t xml:space="preserve">Only one authentication pathway (JWT Bearer) exists. It is consistently enforced across all endpoints in SecurityConfig.java.</t>
  </si>
  <si>
    <t xml:space="preserve">SecurityConfig.java</t>
  </si>
  <si>
    <t xml:space="preserve">V6.3.5</t>
  </si>
  <si>
    <t xml:space="preserve">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</si>
  <si>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 xml:space="preserve">No notification system (email, SMS, or in-app) for suspicious login attempts exists.</t>
  </si>
  <si>
    <t xml:space="preserve">V6.3.6</t>
  </si>
  <si>
    <t xml:space="preserve">Verify that email is not used as either a single-factor or multi-factor authentication mechanism.</t>
  </si>
  <si>
    <t xml:space="preserve">Email is used only as a username/identifier, not as an authentication factor (no email OTP or magic links).</t>
  </si>
  <si>
    <t xml:space="preserve">V6.3.7</t>
  </si>
  <si>
    <t xml:space="preserve">Verify that users are notified after updates to authentication details, such as credential resets or modification of the username or email address.</t>
  </si>
  <si>
    <t xml:space="preserve">Application does not implement password reset, email change, or username modification flows. Authentication credentials are set at registration and cannot be updated. Requirement is not applicable to current scope.</t>
  </si>
  <si>
    <t xml:space="preserve">V6.3.8</t>
  </si>
  <si>
    <t xml:space="preserve">Verify that valid users cannot be deduced from failed authentication challenges, such as by basing on error messages, HTTP response codes, or different response times. Registration and forgot password functionality must also have this protection.</t>
  </si>
  <si>
    <t xml:space="preserve">AuthService.login() returns identical error messages, but a timing side-channel exists: findByEmail() fails immediately for missing users, while valid users trigger a bcrypt comparison, creating measurable latency differences.</t>
  </si>
  <si>
    <t xml:space="preserve">V6.4</t>
  </si>
  <si>
    <t xml:space="preserve">Authentication Factor Lifecycle and Recovery</t>
  </si>
  <si>
    <t xml:space="preserve">V6.4.1</t>
  </si>
  <si>
    <t xml:space="preserve">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</si>
  <si>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 xml:space="preserve">DataBootstrap.java seeds hardcoded weak passwords (password123) for default accounts. They do not expire and users are not forced to change them.</t>
  </si>
  <si>
    <t xml:space="preserve">V6.4.2</t>
  </si>
  <si>
    <t xml:space="preserve">Verify that password hints or knowledge-based authentication (so-called "secret questions") are not present.</t>
  </si>
  <si>
    <t xml:space="preserve">No password hints or knowledge-based authentication functionality exists in the codebase or documentation.</t>
  </si>
  <si>
    <t xml:space="preserve">V6.4.3</t>
  </si>
  <si>
    <t xml:space="preserve">Verify that a secure process for resetting a forgotten password is implemented, that does not bypass any enabled multi-factor authentication mechanisms.</t>
  </si>
  <si>
    <t xml:space="preserve">No "forgot password" or password reset endpoint exists in the API or code.</t>
  </si>
  <si>
    <t xml:space="preserve">V6.4.4</t>
  </si>
  <si>
    <t xml:space="preserve">Verify that if a multi-factor authentication factor is lost, evidence of identity proofing is performed at the same level as during enrollment.</t>
  </si>
  <si>
    <t xml:space="preserve">No MFA is implemented; </t>
  </si>
  <si>
    <t xml:space="preserve">V6.4.5</t>
  </si>
  <si>
    <t xml:space="preserve">Verify that renewal instructions for authentication mechanisms which expire are sent with enough time to be carried out before the old authentication mechanism expires, configuring automated reminders if necessary.</t>
  </si>
  <si>
    <t xml:space="preserve">No user-managed expiring authentication factors (e.g., hardware tokens, certificates) are implemented.</t>
  </si>
  <si>
    <t xml:space="preserve">V6.4.6</t>
  </si>
  <si>
    <t xml:space="preserve">Verify that administrative users can initiate the password reset process for the user, but that this does not allow them to change or choose the user's password. This prevents a situation where they know the user's password.</t>
  </si>
  <si>
    <t xml:space="preserve">Application does not implement a password reset flow. Administrators cannot reset user passwords as this functionality is outside the current project scope. Requirement is not applicable.</t>
  </si>
  <si>
    <t xml:space="preserve">V6.5</t>
  </si>
  <si>
    <t xml:space="preserve">General Multi-factor authentication requirements</t>
  </si>
  <si>
    <t xml:space="preserve">V6.5.1</t>
  </si>
  <si>
    <t xml:space="preserve">Verify that lookup secrets, out-of-band authentication requests or codes, and time-based one-time passwords (TOTPs) are only successfully usable once.</t>
  </si>
  <si>
    <t xml:space="preserve">No lookup secrets, OOB codes, or TOTP are implemented.</t>
  </si>
  <si>
    <t xml:space="preserve">V6.5.2</t>
  </si>
  <si>
    <t xml:space="preserve">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</si>
  <si>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 xml:space="preserve">No lookup secrets are implemented.</t>
  </si>
  <si>
    <t xml:space="preserve">V6.5.3</t>
  </si>
  <si>
    <t xml:space="preserve">Verify that lookup secrets, out-of-band authentication code, and time-based one-time password seeds, are generated using a Cryptographically Secure Pseudorandom Number Generator (CSPRNG) to avoid predictable values.</t>
  </si>
  <si>
    <t xml:space="preserve">No lookup secrets, OOB codes, or TOTP seeds are implemented.</t>
  </si>
  <si>
    <t xml:space="preserve">V6.5.4</t>
  </si>
  <si>
    <t xml:space="preserve">Verify that lookup secrets and out-of-band authentication codes have a minimum of 20 bits of entropy (typically 4 random alphanumeric characters or 6 random digits is sufficient).</t>
  </si>
  <si>
    <t xml:space="preserve">No lookup secrets or OOB codes are implemented.</t>
  </si>
  <si>
    <t xml:space="preserve">V6.5.5</t>
  </si>
  <si>
    <t xml:space="preserve">Verify that out-of-band authentication requests, codes, or tokens, as well as time-based one-time passwords (TOTPs) have a defined lifetime. Out of band requests must have a maximum lifetime of 10 minutes and for TOTP a maximum lifetime of 30 seconds.</t>
  </si>
  <si>
    <t xml:space="preserve">No OOB authentication or TOTP is implemented.</t>
  </si>
  <si>
    <t xml:space="preserve">V6.5.6</t>
  </si>
  <si>
    <t xml:space="preserve">Verify that any authentication factor (including physical devices) can be revoked in case of theft or other loss.</t>
  </si>
  <si>
    <t xml:space="preserve">No MFA authentication factors are implemented.</t>
  </si>
  <si>
    <t xml:space="preserve">V6.5.7</t>
  </si>
  <si>
    <t xml:space="preserve">Verify that biometric authentication mechanisms are only used as secondary factors together with either something you have or something you know.</t>
  </si>
  <si>
    <t xml:space="preserve">No biometric authentication is implemented.</t>
  </si>
  <si>
    <t xml:space="preserve">V6.5.8</t>
  </si>
  <si>
    <t xml:space="preserve">Verify that time-based one-time passwords (TOTPs) are checked based on a time source from a trusted service and not from an untrusted or client provided time.</t>
  </si>
  <si>
    <t xml:space="preserve">No TOTP is implemented.</t>
  </si>
  <si>
    <t xml:space="preserve">V6.6</t>
  </si>
  <si>
    <t xml:space="preserve">Out-of-Band authentication mechanisms</t>
  </si>
  <si>
    <t xml:space="preserve">V6.6.1</t>
  </si>
  <si>
    <t xml:space="preserve">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</si>
  <si>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 xml:space="preserve">No PSTN, SMS, or phone-based OTP is implemented.</t>
  </si>
  <si>
    <t xml:space="preserve">V6.6.2</t>
  </si>
  <si>
    <t xml:space="preserve">Verify that out-of-band authentication requests, codes, or tokens are bound to the original authentication request for which they were generated and are not usable for a previous or subsequent one.</t>
  </si>
  <si>
    <t xml:space="preserve">No out-of-band authentication is implemented.</t>
  </si>
  <si>
    <t xml:space="preserve">V6.6.3</t>
  </si>
  <si>
    <t xml:space="preserve">Verify that a code based out-of-band authentication mechanism is protected against brute force attacks by using rate limiting. Consider also using a code with at least 64 bits of entropy.</t>
  </si>
  <si>
    <t xml:space="preserve">V6.6.4</t>
  </si>
  <si>
    <t xml:space="preserve">Verify that, where push notifications are used for multi-factor authentication, rate limiting is used to prevent push bombing attacks. Number matching may also mitigate this risk.</t>
  </si>
  <si>
    <t xml:space="preserve">No push notification MFA is implemented.</t>
  </si>
  <si>
    <t xml:space="preserve">V6.7</t>
  </si>
  <si>
    <t xml:space="preserve">Cryptographic authentication mechanism</t>
  </si>
  <si>
    <t xml:space="preserve">V6.7.1</t>
  </si>
  <si>
    <t xml:space="preserve">Verify that the certificates used to verify cryptographic authentication assertions are stored in a way protects them from modification.</t>
  </si>
  <si>
    <t xml:space="preserve">The application uses HS256 symmetric key signing (JwtUtil.java), not certificate-based asymmetric cryptography.</t>
  </si>
  <si>
    <t xml:space="preserve">V6.7.2</t>
  </si>
  <si>
    <t xml:space="preserve">Verify that the challenge nonce is at least 64 bits in length, and statistically unique or unique over the lifetime of the cryptographic device.</t>
  </si>
  <si>
    <t xml:space="preserve">No challenge-response or nonce-based authentication mechanism is implemented.</t>
  </si>
  <si>
    <t xml:space="preserve">V6.8</t>
  </si>
  <si>
    <t xml:space="preserve">Authentication with an Identity Provider</t>
  </si>
  <si>
    <t xml:space="preserve">V6.8.1</t>
  </si>
  <si>
    <t xml:space="preserve">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</si>
  <si>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 xml:space="preserve">Only a local identity provider is supported. No multiple IdPs exist that could enable spoofing.</t>
  </si>
  <si>
    <t xml:space="preserve">V6.8.2</t>
  </si>
  <si>
    <t xml:space="preserve">Verify that the presence and integrity of digital signatures on authentication assertions (for example on JWTs or SAML assertions) are always validated, rejecting any assertions that are unsigned or have invalid signatures.</t>
  </si>
  <si>
    <t xml:space="preserve">JWT signatures are validated on every request in JwtAuthFilter.java via JwtUtil.validate(). Unsigned or tampered tokens are rejected with 401 Unauthorized.</t>
  </si>
  <si>
    <t xml:space="preserve">JwtAuthFilter.java, JwtUtil.java</t>
  </si>
  <si>
    <t xml:space="preserve">V6.8.3</t>
  </si>
  <si>
    <t xml:space="preserve">Verify that SAML assertions are uniquely processed and used only once within the validity period to prevent replay attacks.</t>
  </si>
  <si>
    <t xml:space="preserve">No SAML integration is implemented.</t>
  </si>
  <si>
    <t xml:space="preserve">V6.8.4</t>
  </si>
  <si>
    <t xml:space="preserve">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</si>
  <si>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 xml:space="preserve">No external IdP integration is implemented.</t>
  </si>
  <si>
    <t xml:space="preserve">V7.1</t>
  </si>
  <si>
    <t xml:space="preserve">Session Management Documentation</t>
  </si>
  <si>
    <t xml:space="preserve">V7.1.1</t>
  </si>
  <si>
    <t xml:space="preserve">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</si>
  <si>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 xml:space="preserve">Access and refresh tokens both have certain expiration period specified. Expired access token disables the user from performing any operations, while expired refresh token forces the user to re-authenticate with user's credentials.</t>
  </si>
  <si>
    <t xml:space="preserve">AuthController.java, AuthService.java</t>
  </si>
  <si>
    <t xml:space="preserve">V7.1.2</t>
  </si>
  <si>
    <t xml:space="preserve">Verify that the documentation defines how many concurrent (parallel) sessions are allowed for one account as well as the intended behaviors and actions to be taken when the maximum number of active sessions is reached.</t>
  </si>
  <si>
    <t xml:space="preserve">No intention to limit concurrent sessions</t>
  </si>
  <si>
    <t xml:space="preserve">V7.1.3</t>
  </si>
  <si>
    <t xml:space="preserve">Verify that all systems that create and manage user sessions as part of a federated identity management ecosystem (such as SSO systems) are documented along with controls to coordinate session lifetimes, termination, and any other conditions that require re-authentication.</t>
  </si>
  <si>
    <t xml:space="preserve">No SSO systems used</t>
  </si>
  <si>
    <t xml:space="preserve">V7.2</t>
  </si>
  <si>
    <t xml:space="preserve">Fundamental Session Management Security</t>
  </si>
  <si>
    <t xml:space="preserve">V7.2.1</t>
  </si>
  <si>
    <t xml:space="preserve">Verify that the application performs all session token verification using a trusted, backend service.</t>
  </si>
  <si>
    <t xml:space="preserve">All token verification happens in the same backend service.</t>
  </si>
  <si>
    <t xml:space="preserve">JwtAuthFilter.java</t>
  </si>
  <si>
    <t xml:space="preserve">V7.2.2</t>
  </si>
  <si>
    <t xml:space="preserve">Verify that the application uses either self-contained or reference tokens that are dynamically generated for session management, i.e. not using static API secrets and keys.</t>
  </si>
  <si>
    <t xml:space="preserve">Access and refresh tokens are used.</t>
  </si>
  <si>
    <t xml:space="preserve">V7.2.3</t>
  </si>
  <si>
    <t xml:space="preserve">Verify that if reference tokens are used to represent user sessions, they are unique and generated using a cryptographically secure pseudo-random number generator (CSPRNG) and possess at least 128 bits of entropy.</t>
  </si>
  <si>
    <t xml:space="preserve">JWTs are used</t>
  </si>
  <si>
    <t xml:space="preserve">V7.2.4</t>
  </si>
  <si>
    <t xml:space="preserve">Verify that the application generates a new session token on user authentication, including re-authentication, and terminates the current session token.</t>
  </si>
  <si>
    <t xml:space="preserve">New access and refresh tokens are generated on sign-in/sign-up. New access token is generated when requested if valid refresh token is provided.</t>
  </si>
  <si>
    <t xml:space="preserve">AuthController.java</t>
  </si>
  <si>
    <t xml:space="preserve">V7.3</t>
  </si>
  <si>
    <t xml:space="preserve">Session Timeout</t>
  </si>
  <si>
    <t xml:space="preserve">V7.3.1</t>
  </si>
  <si>
    <t xml:space="preserve">Verify that there is an inactivity timeout such that re-authentication is enforced according to risk analysis and documented security decisions.</t>
  </si>
  <si>
    <t xml:space="preserve">Access token has a short-lived expiration period</t>
  </si>
  <si>
    <t xml:space="preserve">V7.3.2</t>
  </si>
  <si>
    <t xml:space="preserve">Verify that there is an absolute maximum session lifetime such that re-authentication is enforced according to risk analysis and documented security decisions.</t>
  </si>
  <si>
    <t xml:space="preserve">Refresh token has a specified expiration period.</t>
  </si>
  <si>
    <t xml:space="preserve">RefreshTokenService.java</t>
  </si>
  <si>
    <t xml:space="preserve">V7.4</t>
  </si>
  <si>
    <t xml:space="preserve">Session Termination</t>
  </si>
  <si>
    <t xml:space="preserve">V7.4.1</t>
  </si>
  <si>
    <t xml:space="preserve">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</si>
  <si>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 xml:space="preserve">V7.4.2</t>
  </si>
  <si>
    <t xml:space="preserve">Verify that the application terminates all active sessions when a user account is disabled or deleted (such as an employee leaving the company).</t>
  </si>
  <si>
    <t xml:space="preserve">V7.4.3</t>
  </si>
  <si>
    <t xml:space="preserve">Verify that the application gives the option to terminate all other active sessions after a successful change or removal of any authentication factor (including password change via reset or recovery and, if present, an MFA settings update).</t>
  </si>
  <si>
    <t xml:space="preserve">V7.4.4</t>
  </si>
  <si>
    <t xml:space="preserve">Verify that all pages that require authentication have easy and visible access to logout functionality.</t>
  </si>
  <si>
    <t xml:space="preserve">No front-end.</t>
  </si>
  <si>
    <t xml:space="preserve">V7.4.5</t>
  </si>
  <si>
    <t xml:space="preserve">Verify that application administrators are able to terminate active sessions for an individual user or for all users.</t>
  </si>
  <si>
    <t xml:space="preserve">Administrators can terminate active sessions for an individual user via DELETE /api/admin/users/{id}/sessions or all users via DELETE /api/admin/users/sessions. Session revocation is enforced in JwtAuthFilter by checking TokenBlacklistService.isUserRevoked() on every request. Audit logged via AuditAction.SESSION_TERMINATE.</t>
  </si>
  <si>
    <t xml:space="preserve">src/main/java/com/desofs/user/UserController.java, src/main/java/com/desofs/user/UserService.java, src/main/java/com/desofs/security/TokenBlacklistService.java, src/main/java/com/desofs/config/JwtAuthFilter.java</t>
  </si>
  <si>
    <t xml:space="preserve">V7.5</t>
  </si>
  <si>
    <t xml:space="preserve">Defenses Against Session Abuse</t>
  </si>
  <si>
    <t xml:space="preserve">V7.5.1</t>
  </si>
  <si>
    <t xml:space="preserve">Verify that the application requires full re-authentication before allowing modifications to sensitive account attributes which may affect authentication such as email address, phone number, MFA configuration, or other information used in account recovery.</t>
  </si>
  <si>
    <t xml:space="preserve">V7.5.2</t>
  </si>
  <si>
    <t xml:space="preserve">Verify that users are able to view and (having authenticated again with at least one factor) terminate any or all currently active sessions.</t>
  </si>
  <si>
    <t xml:space="preserve">V7.5.3</t>
  </si>
  <si>
    <t xml:space="preserve">Verify that the application requires further authentication with at least one factor or secondary verification before performing highly sensitive transactions or operations.</t>
  </si>
  <si>
    <t xml:space="preserve">V7.6</t>
  </si>
  <si>
    <t xml:space="preserve">Federated Re-authentication</t>
  </si>
  <si>
    <t xml:space="preserve">V7.6.1</t>
  </si>
  <si>
    <t xml:space="preserve">Verify that session lifetime and termination between Relying Parties (RPs) and Identity Providers (IdPs) behave as documented, requiring re-authentication as necessary such as when the maximum time between IdP authentication events is reached.</t>
  </si>
  <si>
    <t xml:space="preserve">V7.6.2</t>
  </si>
  <si>
    <t xml:space="preserve">Verify that creation of a session requires either the user's consent or an explicit action, preventing the creation of new application sessions without user interaction.</t>
  </si>
  <si>
    <t xml:space="preserve">Explicit API request with valid credentials is needed for a session to be created.</t>
  </si>
  <si>
    <t xml:space="preserve">V8.1</t>
  </si>
  <si>
    <t xml:space="preserve">Authorization Documentation</t>
  </si>
  <si>
    <t xml:space="preserve">V8.1.1</t>
  </si>
  <si>
    <t xml:space="preserve">Verify that authorization documentation defines rules for restricting function-level and data-specific access based on consumer permissions and resource attributes.</t>
  </si>
  <si>
    <t xml:space="preserve">Authorization rules are documented for roles, project membership, task assignee, comment author, and attachment uploader/member access</t>
  </si>
  <si>
    <t xml:space="preserve">01_Requirements.md, 04_SecurityDesign.md - Both describe who can take what action</t>
  </si>
  <si>
    <t xml:space="preserve">V8.1.2</t>
  </si>
  <si>
    <t xml:space="preserve">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</si>
  <si>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 xml:space="preserve">Some field/action-specific rules exist, such as role update admin-only, task status/assignee rules, comment author edits, and attachment uploader deletes.</t>
  </si>
  <si>
    <t xml:space="preserve">01_Requirements.md - Describes how some fields are only modifiable by certain roles</t>
  </si>
  <si>
    <t xml:space="preserve">V8.1.3</t>
  </si>
  <si>
    <t xml:space="preserve">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</si>
  <si>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 xml:space="preserve">V8.1.4</t>
  </si>
  <si>
    <t xml:space="preserve">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</si>
  <si>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 xml:space="preserve">V8.2</t>
  </si>
  <si>
    <t xml:space="preserve">General Authorization Design</t>
  </si>
  <si>
    <t xml:space="preserve">V8.2.1</t>
  </si>
  <si>
    <t xml:space="preserve">Verify that the application ensures that function-level access is restricted to consumers with explicit permissions.</t>
  </si>
  <si>
    <t xml:space="preserve">Role-level access is enforced and project-member status also allows certains actions to be performed</t>
  </si>
  <si>
    <t xml:space="preserve">Service classes for each entity</t>
  </si>
  <si>
    <t xml:space="preserve">V8.2.2</t>
  </si>
  <si>
    <t xml:space="preserve">Verify that the application ensures that data-specific access is restricted to consumers with explicit permissions to specific data items to mitigate insecure direct object reference (IDOR) and broken object level authorization (BOLA).</t>
  </si>
  <si>
    <t xml:space="preserve">Protected by role-level access or project membership status</t>
  </si>
  <si>
    <t xml:space="preserve">V8.2.3</t>
  </si>
  <si>
    <t xml:space="preserve">Verify that the application ensures that field-level access is restricted to consumers with explicit permissions to specific fields to mitigate broken object property level authorization (BOPLA).</t>
  </si>
  <si>
    <t xml:space="preserve">V8.2.4</t>
  </si>
  <si>
    <t xml:space="preserve">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</si>
  <si>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 xml:space="preserve">V8.3</t>
  </si>
  <si>
    <t xml:space="preserve">Operation Level Authorization</t>
  </si>
  <si>
    <t xml:space="preserve">V8.3.1</t>
  </si>
  <si>
    <t xml:space="preserve">Verify that the application enforces authorization rules at a trusted service layer and doesn't rely on controls that an untrusted consumer could manipulate, such as client-side JavaScript.</t>
  </si>
  <si>
    <t xml:space="preserve">All authorization is evaluated in the core backend logic</t>
  </si>
  <si>
    <t xml:space="preserve">V8.3.2</t>
  </si>
  <si>
    <t xml:space="preserve">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</si>
  <si>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 xml:space="preserve">Short-lived access tokens are used to reflect role changes relatively quickly. Project membership status dependent actions are authorized against a read from the database</t>
  </si>
  <si>
    <t xml:space="preserve">JwtAuthFilter.java, AuthService.java</t>
  </si>
  <si>
    <t xml:space="preserve">V8.3.3</t>
  </si>
  <si>
    <t xml:space="preserve">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</si>
  <si>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 xml:space="preserve">No such cross-service pattern is implemented</t>
  </si>
  <si>
    <t xml:space="preserve">V8.4</t>
  </si>
  <si>
    <t xml:space="preserve">Other Authorization Considerations</t>
  </si>
  <si>
    <t xml:space="preserve">V8.4.1</t>
  </si>
  <si>
    <t xml:space="preserve">Verify that multi-tenant applications use cross-tenant controls to ensure consumer operations will never affect tenants with which they do not have permissions to interact.</t>
  </si>
  <si>
    <t xml:space="preserve">Multi-tenancy not implemented</t>
  </si>
  <si>
    <t xml:space="preserve">V8.4.2</t>
  </si>
  <si>
    <t xml:space="preserve">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</si>
  <si>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 xml:space="preserve">No dedicated admin interface present in the application. Admins/managers use the same endpoints, however, role-based access is enforced.</t>
  </si>
  <si>
    <t xml:space="preserve">V9.1</t>
  </si>
  <si>
    <t xml:space="preserve">Token source and integrity</t>
  </si>
  <si>
    <t xml:space="preserve">V9.1.1</t>
  </si>
  <si>
    <t xml:space="preserve">Verify that self-contained tokens are validated using their digital signature or MAC to protect against tampering before accepting the token's contents.</t>
  </si>
  <si>
    <t xml:space="preserve">Both access and refresh tokens JWTs are verified.</t>
  </si>
  <si>
    <t xml:space="preserve">V9.1.2</t>
  </si>
  <si>
    <t xml:space="preserve">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</si>
  <si>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 xml:space="preserve">Only HMAC-SHA algorithm is allowed.</t>
  </si>
  <si>
    <t xml:space="preserve">V9.1.3</t>
  </si>
  <si>
    <t xml:space="preserve">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</si>
  <si>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 xml:space="preserve">JWTs are validated with a preconfigured local HS256 secret via setSigningKey. No attacker-controlled JWT key source headers are used</t>
  </si>
  <si>
    <t xml:space="preserve">V9.2</t>
  </si>
  <si>
    <t xml:space="preserve">Token content</t>
  </si>
  <si>
    <t xml:space="preserve">V9.2.1</t>
  </si>
  <si>
    <t xml:space="preserve">Verify that, if a validity time span is present in the token data, the token and its content are accepted only if the verification time is within this validity time span. For example, for JWTs, the claims 'nbf' and 'exp' must be verified.</t>
  </si>
  <si>
    <t xml:space="preserve">Verified when validating the token.</t>
  </si>
  <si>
    <t xml:space="preserve">V9.2.2</t>
  </si>
  <si>
    <t xml:space="preserve">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</si>
  <si>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 xml:space="preserve">Only access token are used to authorize operations. Only refresh token is used to obtain new access token.</t>
  </si>
  <si>
    <t xml:space="preserve">V9.2.3</t>
  </si>
  <si>
    <t xml:space="preserve">Verify that the service only accepts tokens which are intended for use with that service (audience). For JWTs, this can be achieved by validating the 'aud' claim against an allowlist defined in the service.</t>
  </si>
  <si>
    <t xml:space="preserve">Only one service exists - single access token is used throughout the entire app for operations authorization.</t>
  </si>
  <si>
    <t xml:space="preserve">V9.2.4</t>
  </si>
  <si>
    <t xml:space="preserve">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</si>
  <si>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 xml:space="preserve">Single audience used throughout the entire app.</t>
  </si>
  <si>
    <t xml:space="preserve">V10.1</t>
  </si>
  <si>
    <t xml:space="preserve">Generic OAuth and OIDC Security</t>
  </si>
  <si>
    <t xml:space="preserve">V10.1.1</t>
  </si>
  <si>
    <t xml:space="preserve">Verify that tokens are only sent to components that strictly need them. For example, when using a backend-for-frontend pattern for browser-based JavaScript applications, access and refresh tokens shall only be accessible for the backend.</t>
  </si>
  <si>
    <t xml:space="preserve">V10.1.2</t>
  </si>
  <si>
    <t xml:space="preserve">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</si>
  <si>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 xml:space="preserve">V10.2</t>
  </si>
  <si>
    <t xml:space="preserve">OAuth Client</t>
  </si>
  <si>
    <t xml:space="preserve">V10.2.1</t>
  </si>
  <si>
    <t xml:space="preserve">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</si>
  <si>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 xml:space="preserve">V10.2.2</t>
  </si>
  <si>
    <t xml:space="preserve">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</si>
  <si>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 xml:space="preserve">V10.2.3</t>
  </si>
  <si>
    <t xml:space="preserve">Verify that the OAuth client only requests the required scopes (or other authorization parameters) in requests to the authorization server.</t>
  </si>
  <si>
    <t xml:space="preserve">V10.3</t>
  </si>
  <si>
    <t xml:space="preserve">OAuth Resource Server</t>
  </si>
  <si>
    <t xml:space="preserve">V10.3.1</t>
  </si>
  <si>
    <t xml:space="preserve">Verify that the resource server only accepts access tokens that are intended for use with that service (audience). The audience may be included in a structured access token (such as the 'aud' claim in JWT), or it can be checked using the token introspection endpoint.</t>
  </si>
  <si>
    <t xml:space="preserve">V10.3.2</t>
  </si>
  <si>
    <t xml:space="preserve">Verify that the resource server enforces authorization decisions based on claims from the access token that define delegated authorization. If claims such as 'sub', 'scope', and 'authorization_details' are present, they must be part of the decision.</t>
  </si>
  <si>
    <t xml:space="preserve">V10.3.3</t>
  </si>
  <si>
    <t xml:space="preserve">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</si>
  <si>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 xml:space="preserve">V10.3.4</t>
  </si>
  <si>
    <t xml:space="preserve">Verify that, if the resource server requires specific authentication strength, methods, or recentness, it verifies that the presented access token satisfies these constraints. For example, if present, using the OIDC 'acr', 'amr' and 'auth_time' claims respectively.</t>
  </si>
  <si>
    <t xml:space="preserve">V10.3.5</t>
  </si>
  <si>
    <t xml:space="preserve">Verify that the resource server prevents the use of stolen access tokens or replay of access tokens (from unauthorized parties) by requiring sender-constrained access tokens, either Mutual TLS for OAuth 2 or OAuth 2 Demonstration of Proof of Possession (DPoP).</t>
  </si>
  <si>
    <t xml:space="preserve">V10.4</t>
  </si>
  <si>
    <t xml:space="preserve">OAuth Authorization Server</t>
  </si>
  <si>
    <t xml:space="preserve">V10.4.1</t>
  </si>
  <si>
    <t xml:space="preserve">Verify that the authorization server validates redirect URIs based on a client-specific allowlist of pre-registered URIs using exact string comparison.</t>
  </si>
  <si>
    <t xml:space="preserve">V10.4.2</t>
  </si>
  <si>
    <t xml:space="preserve">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</si>
  <si>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 xml:space="preserve">V10.4.3</t>
  </si>
  <si>
    <t xml:space="preserve">Verify that the authorization code is short-lived. The maximum lifetime can be up to 10 minutes for L1 and L2 applications and up to 1 minute for L3 applications.</t>
  </si>
  <si>
    <t xml:space="preserve">V10.4.4</t>
  </si>
  <si>
    <t xml:space="preserve">Verify that for a given client, the authorization server only allows the usage of grants that this client needs to use. Note that the grants 'token' (Implicit flow) and 'password' (Resource Owner Password Credentials flow) must no longer be used.</t>
  </si>
  <si>
    <t xml:space="preserve">V10.4.5</t>
  </si>
  <si>
    <t xml:space="preserve">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</si>
  <si>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 xml:space="preserve">V10.4.6</t>
  </si>
  <si>
    <t xml:space="preserve">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</si>
  <si>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 xml:space="preserve">V10.4.7</t>
  </si>
  <si>
    <t xml:space="preserve">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</si>
  <si>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 xml:space="preserve">V10.4.8</t>
  </si>
  <si>
    <t xml:space="preserve">Verify that refresh tokens have an absolute expiration, including if sliding refresh token expiration is applied.</t>
  </si>
  <si>
    <t xml:space="preserve">V10.4.9</t>
  </si>
  <si>
    <t xml:space="preserve">Verify that refresh tokens and reference access tokens can be revoked by an authorized user using the authorization server user interface, to mitigate the risk of malicious clients or stolen tokens.</t>
  </si>
  <si>
    <t xml:space="preserve">V10.4.10</t>
  </si>
  <si>
    <t xml:space="preserve">Verify that confidential client is authenticated for client-to-authorized server backchannel requests such as token requests, pushed authorization requests (PAR), and token revocation requests.</t>
  </si>
  <si>
    <t xml:space="preserve">V10.4.11</t>
  </si>
  <si>
    <t xml:space="preserve">Verify that the authorization server configuration only assigns the required scopes to the OAuth client.</t>
  </si>
  <si>
    <t xml:space="preserve">V10.4.12</t>
  </si>
  <si>
    <t xml:space="preserve">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</si>
  <si>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 xml:space="preserve">V10.4.13</t>
  </si>
  <si>
    <t xml:space="preserve">Verify that grant type 'code' is always used together with pushed authorization requests (PAR).</t>
  </si>
  <si>
    <t xml:space="preserve">V10.4.14</t>
  </si>
  <si>
    <t xml:space="preserve">Verify that the authorization server issues only sender-constrained (Proof-of-Possession) access tokens, either with certificate-bound access tokens using mutual TLS (mTLS) or DPoP-bound access tokens (Demonstration of Proof of Possession).</t>
  </si>
  <si>
    <t xml:space="preserve">V10.4.15</t>
  </si>
  <si>
    <t xml:space="preserve">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</si>
  <si>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 xml:space="preserve">V10.4.16</t>
  </si>
  <si>
    <t xml:space="preserve">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</si>
  <si>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 xml:space="preserve">V10.5</t>
  </si>
  <si>
    <t xml:space="preserve">OIDC Client</t>
  </si>
  <si>
    <t xml:space="preserve">V10.5.1</t>
  </si>
  <si>
    <t xml:space="preserve">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</si>
  <si>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 xml:space="preserve">V10.5.2</t>
  </si>
  <si>
    <t xml:space="preserve">Verify that the client uniquely identifies the user from ID Token claims, usually the 'sub' claim, which cannot be reassigned to other users (for the scope of an identity provider).</t>
  </si>
  <si>
    <t xml:space="preserve">V10.5.3</t>
  </si>
  <si>
    <t xml:space="preserve">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</si>
  <si>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 xml:space="preserve">V10.5.4</t>
  </si>
  <si>
    <t xml:space="preserve">Verify that the client validates that the ID Token is intended to be used for that client (audience) by checking that the 'aud' claim from the token is equal to the 'client_id' value for the client.</t>
  </si>
  <si>
    <t xml:space="preserve">V10.5.5</t>
  </si>
  <si>
    <t xml:space="preserve">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</si>
  <si>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 xml:space="preserve">V10.6</t>
  </si>
  <si>
    <t xml:space="preserve">OpenID Provider</t>
  </si>
  <si>
    <t xml:space="preserve">V10.6.1</t>
  </si>
  <si>
    <t xml:space="preserve">Verify that the OpenID Provider only allows values 'code', 'ciba', 'id_token', or 'id_token code' for response mode. Note that 'code' is preferred over 'id_token code' (the OIDC Hybrid flow), and 'token' (any Implicit flow) must not be used.</t>
  </si>
  <si>
    <t xml:space="preserve">V10.6.2</t>
  </si>
  <si>
    <t xml:space="preserve">Verify that the OpenID Provider mitigates denial of service through forced logout. By obtaining explicit confirmation from the end-user or, if present, validating parameters in the logout request (initiated by the relying party), such as the 'id_token_hint'.</t>
  </si>
  <si>
    <t xml:space="preserve">V10.7</t>
  </si>
  <si>
    <t xml:space="preserve">Consent Management</t>
  </si>
  <si>
    <t xml:space="preserve">V10.7.1</t>
  </si>
  <si>
    <t xml:space="preserve">Verify that the authorization server ensures that the user consents to each authorization request. If the identity of the client cannot be assured, the authorization server must always explicitly prompt the user for consent.</t>
  </si>
  <si>
    <t xml:space="preserve">V10.7.2</t>
  </si>
  <si>
    <t xml:space="preserve">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</si>
  <si>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 xml:space="preserve">V10.7.3</t>
  </si>
  <si>
    <t xml:space="preserve">Verify that the user can review, modify, and revoke consents which the user has granted through the authorization server.</t>
  </si>
  <si>
    <t xml:space="preserve">V11.1</t>
  </si>
  <si>
    <t xml:space="preserve">Cryptographic Inventory and Documentation</t>
  </si>
  <si>
    <t xml:space="preserve">V11.1.1</t>
  </si>
  <si>
    <t xml:space="preserve">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</si>
  <si>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 xml:space="preserve">V11.1.2</t>
  </si>
  <si>
    <t xml:space="preserve">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</si>
  <si>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 xml:space="preserve">JWT secret (HS256), BCrypt (password hashing), TLS (planned Phase 2)</t>
  </si>
  <si>
    <t xml:space="preserve">application.yml, JwtUtil.java, SecurityConfig.java</t>
  </si>
  <si>
    <t xml:space="preserve">V11.1.3</t>
  </si>
  <si>
    <t xml:space="preserve">Verify that cryptographic discovery mechanisms are employed to identify all instances of cryptography in the system, including encryption, hashing, and signing operations.</t>
  </si>
  <si>
    <t xml:space="preserve">V11.1.4</t>
  </si>
  <si>
    <t xml:space="preserve">Verify that a cryptographic inventory is maintained. This must include a documented plan that outlines the migration path to new cryptographic standards, such as post-quantum cryptography, in order to react to future threats.</t>
  </si>
  <si>
    <t xml:space="preserve">V11.2</t>
  </si>
  <si>
    <t xml:space="preserve">Secure Cryptography Implementation</t>
  </si>
  <si>
    <t xml:space="preserve">V11.2.1</t>
  </si>
  <si>
    <t xml:space="preserve">Verify that industry-validated implementations (including libraries and hardware-accelerated implementations) are used for cryptographic operations.</t>
  </si>
  <si>
    <t xml:space="preserve">JWT signing/verification (HMAC-SHA256), Spring Security BCryptPasswordEncoder, </t>
  </si>
  <si>
    <t xml:space="preserve">io.jsonwebtoken, SecurityConfig.java, JwtUtil.java</t>
  </si>
  <si>
    <t xml:space="preserve">V11.2.2</t>
  </si>
  <si>
    <t xml:space="preserve">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</si>
  <si>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 xml:space="preserve">V11.2.3</t>
  </si>
  <si>
    <t xml:space="preserve">Verify that all cryptographic primitives utilize a minimum of 128-bits of security based on the algorithm, key size, and configuration. For example, a 256-bit ECC key provides roughly 128 bits of security where RSA requires a 3072-bit key to achieve 128 bits of security.</t>
  </si>
  <si>
    <t xml:space="preserve">V11.2.4</t>
  </si>
  <si>
    <t xml:space="preserve">Verify that all cryptographic operations are constant-time, with no 'short-circuit' operations in comparisons, calculations, or returns, to avoid leaking information.</t>
  </si>
  <si>
    <t xml:space="preserve">Password hashing and comparison use BCryptPasswordEncoder.matches() which internally uses constant-time comparison. Refresh tokens are generated via SecureRandom (64 bytes, URL-safe Base64) and compared via database lookup. JWT validation uses HMAC-SHA256 via JJWT library.</t>
  </si>
  <si>
    <t xml:space="preserve">src/main/java/com/desofs/auth/AuthService.java, src/main/java/com/desofs/auth/RefreshTokenService.java</t>
  </si>
  <si>
    <t xml:space="preserve">V11.2.5</t>
  </si>
  <si>
    <t xml:space="preserve">Verify that all cryptographic modules fail securely, and errors are handled in a way that does not enable vulnerabilities, such as Padding Oracle attacks.</t>
  </si>
  <si>
    <t xml:space="preserve">JwtAuthFilter, AuthController logout, No Padding Oracle risk</t>
  </si>
  <si>
    <t xml:space="preserve">V11.3</t>
  </si>
  <si>
    <t xml:space="preserve">Encryption Algorithms</t>
  </si>
  <si>
    <t xml:space="preserve">V11.3.1</t>
  </si>
  <si>
    <t xml:space="preserve">Verify that insecure block modes (e.g., ECB) and weak padding schemes (e.g., PKCS#1 v1.5) are not used.</t>
  </si>
  <si>
    <t xml:space="preserve">The application does not use any block cipher encryption at all in the current codebase</t>
  </si>
  <si>
    <t xml:space="preserve">V11.3.2</t>
  </si>
  <si>
    <t xml:space="preserve">Verify that only approved ciphers and modes such as AES with GCM are used.</t>
  </si>
  <si>
    <t xml:space="preserve">No symmetric encryption is currently implemented in the codebase. For data in transit (TLS), AES-GCM and ChaCha20-Poly1305 are planned for Phase 2</t>
  </si>
  <si>
    <t xml:space="preserve">04_SecurityDesign.md section 3.2 — Phase 2 planned cipher suites.</t>
  </si>
  <si>
    <t xml:space="preserve">V11.3.3</t>
  </si>
  <si>
    <t xml:space="preserve">Verify that encrypted data is protected against unauthorized modification preferably by using an approved authenticated encryption method or by combining an approved encryption method with an approved MAC algorithm.</t>
  </si>
  <si>
    <t xml:space="preserve">JWT tokens: HS256 provides integrity; AES-GCM (AEAD) is planned for Phase 2 TLS but not yet enforced in code</t>
  </si>
  <si>
    <t xml:space="preserve">V11.3.4</t>
  </si>
  <si>
    <t xml:space="preserve">Verify that nonces, initialization vectors, and other single-use numbers are not used for more than one encryption key and data-element pair. The method of generation must be appropriate for the algorithm being used.</t>
  </si>
  <si>
    <t xml:space="preserve">V11.3.5</t>
  </si>
  <si>
    <t xml:space="preserve">Verify that any combination of an encryption algorithm and a MAC algorithm is operating in encrypt-then-MAC mode.</t>
  </si>
  <si>
    <t xml:space="preserve">V11.4</t>
  </si>
  <si>
    <t xml:space="preserve">Hashing and Hash-based Functions</t>
  </si>
  <si>
    <t xml:space="preserve">V11.4.1</t>
  </si>
  <si>
    <t xml:space="preserve">Verify that only approved hash functions are used for general cryptographic use cases, including digital signatures, HMAC, KDF, and random bit generation. Disallowed hash functions, such as MD5, must not be used for any cryptographic purpose.</t>
  </si>
  <si>
    <t xml:space="preserve">JWT signing, Password hashing, Refresh token generation</t>
  </si>
  <si>
    <t xml:space="preserve">JwtUtil.java, SecurityConfig.java, RefreshTokenService.java</t>
  </si>
  <si>
    <t xml:space="preserve">V11.4.2</t>
  </si>
  <si>
    <t xml:space="preserve">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</si>
  <si>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 xml:space="preserve">V11.4.3</t>
  </si>
  <si>
    <t xml:space="preserve">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</si>
  <si>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 xml:space="preserve">JWT signatures use HMAC-SHA256</t>
  </si>
  <si>
    <t xml:space="preserve">JwtUtil.java — SignatureAlgorithm.HS256.</t>
  </si>
  <si>
    <t xml:space="preserve">V11.4.4</t>
  </si>
  <si>
    <t xml:space="preserve">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</si>
  <si>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 xml:space="preserve">BCrypt is used for password storage but JWT signing key is derived directly from a raw UTF-8 string </t>
  </si>
  <si>
    <t xml:space="preserve">V11.5</t>
  </si>
  <si>
    <t xml:space="preserve">Random Values</t>
  </si>
  <si>
    <t xml:space="preserve">V11.5.1</t>
  </si>
  <si>
    <t xml:space="preserve">Verify that all random numbers and strings which are intended to be non-guessable must be generated using a cryptographically secure pseudo-random number generator (CSPRNG) and have at least 128 bits of entropy. Note that UUIDs do not respect this condition.</t>
  </si>
  <si>
    <t xml:space="preserve">Refresh tokens are generated using java.security.SecureRandom</t>
  </si>
  <si>
    <t xml:space="preserve">V11.5.2</t>
  </si>
  <si>
    <t xml:space="preserve">Verify that the random number generation mechanism in use is designed to work securely, even under heavy demand.</t>
  </si>
  <si>
    <t xml:space="preserve">java.security.SecureRandom in Java is thread-safe and backed by the OS entropy source</t>
  </si>
  <si>
    <t xml:space="preserve">RefreshTokenService.java line 14 — private final SecureRandom secureRandom = new SecureRandom() (singleton instance)</t>
  </si>
  <si>
    <t xml:space="preserve">V11.6</t>
  </si>
  <si>
    <t xml:space="preserve">Public Key Cryptography</t>
  </si>
  <si>
    <t xml:space="preserve">V11.6.1</t>
  </si>
  <si>
    <t xml:space="preserve">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</si>
  <si>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 xml:space="preserve">Only HMAC-SHA256 (via JJWT) and BCrypt (via Spring Security) are used</t>
  </si>
  <si>
    <t xml:space="preserve">V11.6.2</t>
  </si>
  <si>
    <t xml:space="preserve">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</si>
  <si>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 xml:space="preserve">V11.7</t>
  </si>
  <si>
    <t xml:space="preserve">In-Use Data Cryptography</t>
  </si>
  <si>
    <t xml:space="preserve">V11.7.1</t>
  </si>
  <si>
    <t xml:space="preserve">Verify that full memory encryption is in use that protects sensitive data while it is in use, preventing access by unauthorized users or processes.</t>
  </si>
  <si>
    <t xml:space="preserve">V11.7.2</t>
  </si>
  <si>
    <t xml:space="preserve">Verify that data minimization ensures the minimal amount of data is exposed during processing, and ensure that data is encrypted immediately after use or as soon as feasible.</t>
  </si>
  <si>
    <t xml:space="preserve">Passwords are passed directly to BCryptPasswordEncoder.encode() and matches() without intermediate storage, minimizing exposure during processing. No sensitive data is logged (SR-10). Java String immutability prevents guaranteed memory clearing after use, however this is a known platform-level limitation of the Java/Spring Security stack and not addressable at the application layer without abandoning the standard security API.</t>
  </si>
  <si>
    <t xml:space="preserve">src/main/java/com/desofs/auth/AuthService.java</t>
  </si>
  <si>
    <t xml:space="preserve">V12.1</t>
  </si>
  <si>
    <t xml:space="preserve">General TLS Security Guidance</t>
  </si>
  <si>
    <t xml:space="preserve">V12.1.1</t>
  </si>
  <si>
    <t xml:space="preserve">Verify that only the latest recommended versions of the TLS protocol are enabled, such as TLS 1.2 and TLS 1.3. The latest version of the TLS protocol must be the preferred option.</t>
  </si>
  <si>
    <t xml:space="preserve">Planned for next sprint</t>
  </si>
  <si>
    <t xml:space="preserve">V12.1.2</t>
  </si>
  <si>
    <t xml:space="preserve">Verify that only recommended cipher suites are enabled, with the strongest cipher suites set as preferred. L3 applications must only support cipher suites which provide forward secrecy.</t>
  </si>
  <si>
    <t xml:space="preserve">V12.1.3</t>
  </si>
  <si>
    <t xml:space="preserve">Verify that the application validates that mTLS client certificates are trusted before using the certificate identity for authentication or authorization.</t>
  </si>
  <si>
    <t xml:space="preserve">V12.1.4</t>
  </si>
  <si>
    <t xml:space="preserve">Verify that proper certification revocation, such as Online Certificate Status Protocol (OCSP) Stapling, is enabled and configured.</t>
  </si>
  <si>
    <t xml:space="preserve">V12.1.5</t>
  </si>
  <si>
    <t xml:space="preserve">Verify that Encrypted Client Hello (ECH) is enabled in the application's TLS settings to prevent exposure of sensitive metadata, such as the Server Name Indication (SNI), during TLS handshake processes.</t>
  </si>
  <si>
    <t xml:space="preserve">V12.2</t>
  </si>
  <si>
    <t xml:space="preserve">HTTPS Communication with External Facing Services</t>
  </si>
  <si>
    <t xml:space="preserve">V12.2.1</t>
  </si>
  <si>
    <t xml:space="preserve">Verify that TLS is used for all connectivity between a client and external facing, HTTP-based services, and does not fall back to insecure or unencrypted communications.</t>
  </si>
  <si>
    <t xml:space="preserve">TLS is configured via a dedicated production profile (application-prod.yml) using PKCS12 keystore on port 8443. Development runs on HTTP locally only. Production deployment enforces HTTPS exclusively with no HTTP fallback.</t>
  </si>
  <si>
    <t xml:space="preserve">src/main/resources/application-prod.yml</t>
  </si>
  <si>
    <t xml:space="preserve">V12.2.2</t>
  </si>
  <si>
    <t xml:space="preserve">Verify that external facing services use publicly trusted TLS certificates.</t>
  </si>
  <si>
    <t xml:space="preserve">V12.3</t>
  </si>
  <si>
    <t xml:space="preserve">General Service to Service Communication Security</t>
  </si>
  <si>
    <t xml:space="preserve">V12.3.1</t>
  </si>
  <si>
    <t xml:space="preserve">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</si>
  <si>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 xml:space="preserve">V12.3.2</t>
  </si>
  <si>
    <t xml:space="preserve">Verify that TLS clients validate certificates received before communicating with a TLS server.</t>
  </si>
  <si>
    <t xml:space="preserve">V12.3.3</t>
  </si>
  <si>
    <t xml:space="preserve">Verify that TLS or another appropriate transport encryption mechanism used for all connectivity between internal, HTTP-based services within the application, and does not fall back to insecure or unencrypted communications.</t>
  </si>
  <si>
    <t xml:space="preserve">The application is a monolith with no internal HTTP communication between separate services. All data access is performed via JPA/JDBC directly to the database, which does not use HTTP. Requirement is not applicable to the current architecture.</t>
  </si>
  <si>
    <t xml:space="preserve">V12.3.4</t>
  </si>
  <si>
    <t xml:space="preserve">Verify that TLS connections between internal services use trusted certificates. Where internally generated or self-signed certificates are used, the consuming service must be configured to only trust specific internal CAs and specific self-signed certificates.</t>
  </si>
  <si>
    <t xml:space="preserve">V12.3.5</t>
  </si>
  <si>
    <t xml:space="preserve">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</si>
  <si>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 xml:space="preserve">The only internal communication is the app-to-PostgreSQL JDBC connection, which uses username/password credentials</t>
  </si>
  <si>
    <t xml:space="preserve">V13.1</t>
  </si>
  <si>
    <t xml:space="preserve">Configuration Documentation</t>
  </si>
  <si>
    <t xml:space="preserve">V13.1.1</t>
  </si>
  <si>
    <t xml:space="preserve">Verify that all communication needs for the application are documented. This must include external services which the application relies upon and cases where an end user might be able to provide an external location to which the application will then connect.</t>
  </si>
  <si>
    <t xml:space="preserve">The architecture is documented in 03_Architecture.md and DFD diagrams. External dependencies are: PostgreSQL (documented), filesystem storage (documented)</t>
  </si>
  <si>
    <t xml:space="preserve">V13.1.2</t>
  </si>
  <si>
    <t xml:space="preserve">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</si>
  <si>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 xml:space="preserve">V13.1.3</t>
  </si>
  <si>
    <t xml:space="preserve">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</si>
  <si>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 xml:space="preserve">V13.1.4</t>
  </si>
  <si>
    <t xml:space="preserve">Verify that the application's documentation defines the secrets that are critical for the security of the application and a schedule for rotating them, based on the organization's threat model and business requirements.</t>
  </si>
  <si>
    <t xml:space="preserve">V13.2</t>
  </si>
  <si>
    <t xml:space="preserve">Backend Communication Configuration</t>
  </si>
  <si>
    <t xml:space="preserve">V13.2.1</t>
  </si>
  <si>
    <t xml:space="preserve">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</si>
  <si>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 xml:space="preserve">V13.2.2</t>
  </si>
  <si>
    <t xml:space="preserve">Verify that communications between backend application components, including local or operating system services, APIs, middleware, and data layers, are performed with accounts assigned the least necessary privileges.</t>
  </si>
  <si>
    <t xml:space="preserve">V13.2.3</t>
  </si>
  <si>
    <t xml:space="preserve">Verify that if a credential has to be used for service authentication, the credential being used by the consumer is not a default credential (e.g., root/root or admin/admin).</t>
  </si>
  <si>
    <t xml:space="preserve">V13.2.4</t>
  </si>
  <si>
    <t xml:space="preserve">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</si>
  <si>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 xml:space="preserve">V13.2.5</t>
  </si>
  <si>
    <t xml:space="preserve">Verify that the web or application server is configured with an allowlist of resources or systems to which the server can send requests or load data or files from.</t>
  </si>
  <si>
    <t xml:space="preserve">V13.2.6</t>
  </si>
  <si>
    <t xml:space="preserve">Verify that where the application connects to separate services, it follows the documented configuration for each connection, such as maximum parallel connections, behavior when maximum allowed connections is reached, connection timeouts, and retry strategies.</t>
  </si>
  <si>
    <t xml:space="preserve">V13.3</t>
  </si>
  <si>
    <t xml:space="preserve">Secret Management</t>
  </si>
  <si>
    <t xml:space="preserve">V13.3.1</t>
  </si>
  <si>
    <t xml:space="preserve">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</si>
  <si>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 xml:space="preserve">V13.3.2</t>
  </si>
  <si>
    <t xml:space="preserve">Verify that access to secret assets adheres to the principle of least privilege.</t>
  </si>
  <si>
    <t xml:space="preserve">V13.3.3</t>
  </si>
  <si>
    <t xml:space="preserve">Verify that all cryptographic operations are performed using an isolated security module (such as a vault or hardware security module) to securely manage and protect key material from exposure outside of the security module.</t>
  </si>
  <si>
    <t xml:space="preserve">V13.3.4</t>
  </si>
  <si>
    <t xml:space="preserve">Verify that secrets are configured to expire and be rotated based on the application's documentation.</t>
  </si>
  <si>
    <t xml:space="preserve">V13.4</t>
  </si>
  <si>
    <t xml:space="preserve">Unintended Information Leakage</t>
  </si>
  <si>
    <t xml:space="preserve">V13.4.1</t>
  </si>
  <si>
    <t xml:space="preserve">Verify that the application is deployed either without any source control metadata, including the .git or .svn folders, or in a way that these folders are inaccessible both externally and to the application itself.</t>
  </si>
  <si>
    <t xml:space="preserve">V13.4.2</t>
  </si>
  <si>
    <t xml:space="preserve">Verify that debug modes are disabled for all components in production environments to prevent exposure of debugging features and information leakage.</t>
  </si>
  <si>
    <t xml:space="preserve">V13.4.3</t>
  </si>
  <si>
    <t xml:space="preserve">Verify that web servers do not expose directory listings to clients unless explicitly intended.</t>
  </si>
  <si>
    <t xml:space="preserve">V13.4.4</t>
  </si>
  <si>
    <t xml:space="preserve">Verify that using the HTTP TRACE method is not supported in production environments, to avoid potential information leakage.</t>
  </si>
  <si>
    <t xml:space="preserve">V13.4.5</t>
  </si>
  <si>
    <t xml:space="preserve">Verify that documentation (such as for internal APIs) and monitoring endpoints are not exposed unless explicitly intended.</t>
  </si>
  <si>
    <t xml:space="preserve">V13.4.6</t>
  </si>
  <si>
    <t xml:space="preserve">Verify that the application does not expose detailed version information of backend components.</t>
  </si>
  <si>
    <t xml:space="preserve">V13.4.7</t>
  </si>
  <si>
    <t xml:space="preserve">Verify that the web tier is configured to only serve files with specific file extensions to prevent unintentional information, configuration, and source code leakage.</t>
  </si>
  <si>
    <t xml:space="preserve">V14.1</t>
  </si>
  <si>
    <t xml:space="preserve">Data Protection Documentation</t>
  </si>
  <si>
    <t xml:space="preserve">V14.1.1</t>
  </si>
  <si>
    <t xml:space="preserve">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</si>
  <si>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 xml:space="preserve">V14.1.2</t>
  </si>
  <si>
    <t xml:space="preserve">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</si>
  <si>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 xml:space="preserve">V14.2</t>
  </si>
  <si>
    <t xml:space="preserve">General Data Protection</t>
  </si>
  <si>
    <t xml:space="preserve">V14.2.1</t>
  </si>
  <si>
    <t xml:space="preserve">Verify that sensitive data is only sent to the server in the HTTP message body or header fields, and that the URL and query string do not contain sensitive information, such as an API key or session token.</t>
  </si>
  <si>
    <t xml:space="preserve">V14.2.2</t>
  </si>
  <si>
    <t xml:space="preserve">Verify that the application prevents sensitive data from being cached in server components, such as load balancers and application caches, or ensures that the data is securely purged after use.</t>
  </si>
  <si>
    <t xml:space="preserve">V14.2.3</t>
  </si>
  <si>
    <t xml:space="preserve">Verify that defined sensitive data is not sent to untrusted parties (e.g., user trackers) to prevent unwanted collection of data outside of the application's control.</t>
  </si>
  <si>
    <t xml:space="preserve">V14.2.4</t>
  </si>
  <si>
    <t xml:space="preserve">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</si>
  <si>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 xml:space="preserve">Sensitive data controls implemented by classification: passwords hashed with BCrypt and never logged; JWT tokens never persisted in audit logs; session tokens blacklisted by value without exposure in logs. Audit events capture actor, action, resource, success flag, and timestamp for all sensitive operations via AuditService. Exception messages passed to audit details field are restricted to business logic errors ("Invalid credentials", "Project not found", "Forbidden") — no stack traces, queries, credentials, or tokens are recorded. Access to audit data is controlled via Spring Security RBAC.</t>
  </si>
  <si>
    <t xml:space="preserve">src/main/java/com/desofs/audit/AuditService.java, src/main/java/com/desofs/audit/AuditEvent.java, src/main/java/com/desofs/auth/AuthController.java</t>
  </si>
  <si>
    <t xml:space="preserve">V14.2.5</t>
  </si>
  <si>
    <t xml:space="preserve">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</si>
  <si>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 xml:space="preserve">V14.2.6</t>
  </si>
  <si>
    <t xml:space="preserve">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</si>
  <si>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 xml:space="preserve">V14.2.7</t>
  </si>
  <si>
    <t xml:space="preserve">Verify that sensitive information is subject to data retention classification, ensuring that outdated or unnecessary data is deleted automatically, on a defined schedule, or as the situation requires.</t>
  </si>
  <si>
    <t xml:space="preserve">V14.2.8</t>
  </si>
  <si>
    <t xml:space="preserve">Verify that sensitive information is removed from the metadata of user-submitted files unless storage is consented to by the user.</t>
  </si>
  <si>
    <t xml:space="preserve">V14.3</t>
  </si>
  <si>
    <t xml:space="preserve">Client-side Data Protection</t>
  </si>
  <si>
    <t xml:space="preserve">V14.3.1</t>
  </si>
  <si>
    <t xml:space="preserve">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</si>
  <si>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 xml:space="preserve">V14.3.2</t>
  </si>
  <si>
    <t xml:space="preserve">Verify that the application sets sufficient anti-caching HTTP response header fields (i.e., Cache-Control: no-store) so that sensitive data is not cached in browsers.</t>
  </si>
  <si>
    <t xml:space="preserve">V14.3.3</t>
  </si>
  <si>
    <t xml:space="preserve">Verify that data stored in browser storage (such as localStorage, sessionStorage, IndexedDB, or cookies) does not contain sensitive data, with the exception of session tokens.</t>
  </si>
  <si>
    <t xml:space="preserve">V15.1</t>
  </si>
  <si>
    <t xml:space="preserve">Secure Coding and Architecture Documentation</t>
  </si>
  <si>
    <t xml:space="preserve">V15.1.1</t>
  </si>
  <si>
    <t xml:space="preserve">Verify that application documentation defines risk based remediation time frames for 3rd party component versions with vulnerabilities and for updating libraries in general, to minimize the risk from these components.</t>
  </si>
  <si>
    <t xml:space="preserve">V15.1.2</t>
  </si>
  <si>
    <t xml:space="preserve">Verify that an inventory catalog, such as software bill of materials (SBOM), is maintained of all third-party libraries in use, including verifying that components come from pre-defined, trusted, and continually maintained repositories.</t>
  </si>
  <si>
    <t xml:space="preserve">V15.1.3</t>
  </si>
  <si>
    <t xml:space="preserve">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</si>
  <si>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 xml:space="preserve">V15.1.4</t>
  </si>
  <si>
    <t xml:space="preserve">Verify that application documentation highlights third-party libraries which are considered to be "risky components".</t>
  </si>
  <si>
    <t xml:space="preserve">Third-party dependencies are minimal and well-maintained: spring-boot-starter-* (Spring ecosystem), jjwt 0.11.5 (JWT), postgresql (JDBC driver), h2 (test scope only). OWASP Dependency-Check plugin (dependency-check-maven 12.1.1) and SpotBugs (spotbugs-maven-plugin 4.8.6.0) are configured in the build to automatically identify vulnerable and risky components. Test dependencies (spring-boot-starter-test, spring-security-test, h2) are scoped to test and excluded from production builds.</t>
  </si>
  <si>
    <t xml:space="preserve">V15.1.5</t>
  </si>
  <si>
    <t xml:space="preserve">Verify that application documentation highlights parts of the application where "dangerous functionality" is being used.</t>
  </si>
  <si>
    <t xml:space="preserve">V15.2</t>
  </si>
  <si>
    <t xml:space="preserve">Security Architecture and Dependencies</t>
  </si>
  <si>
    <t xml:space="preserve">V15.2.1</t>
  </si>
  <si>
    <t xml:space="preserve">Verify that the application only contains components which have not breached the documented update and remediation time frames.</t>
  </si>
  <si>
    <t xml:space="preserve">V15.2.2</t>
  </si>
  <si>
    <t xml:space="preserve">Verify that the application has implemented defenses against loss of availability due to functionality which is time-consuming or resource-demanding, based on the documented security decisions and strategies for this.</t>
  </si>
  <si>
    <t xml:space="preserve">V15.2.3</t>
  </si>
  <si>
    <t xml:space="preserve">Verify that the production environment only includes functionality that is required for the application to function, and does not expose extraneous functionality such as test code, sample snippets, and development functionality.</t>
  </si>
  <si>
    <t xml:space="preserve">Test dependencies (spring-boot-starter-test, spring-security-test, h2) are declared with scope=test and are not included in the production JAR. No Spring Actuator, debug endpoints, or development tools are present in the dependencies. No sample or demo code exists in the production source tree. Production profile (application-prod.yml) is separate from the default development configuration.</t>
  </si>
  <si>
    <t xml:space="preserve">pom.xml, src/main/resources/application.yml, src/main/resources/application-prod.yml</t>
  </si>
  <si>
    <t xml:space="preserve">V15.2.4</t>
  </si>
  <si>
    <t xml:space="preserve">Verify that third-party components and all of their transitive dependencies are included from the expected repository, whether internally owned or an external source, and that there is no risk of a dependency confusion attack.</t>
  </si>
  <si>
    <t xml:space="preserve">V15.2.5</t>
  </si>
  <si>
    <t xml:space="preserve">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</si>
  <si>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 xml:space="preserve">V15.3</t>
  </si>
  <si>
    <t xml:space="preserve">Defensive Coding</t>
  </si>
  <si>
    <t xml:space="preserve">V15.3.1</t>
  </si>
  <si>
    <t xml:space="preserve">Verify that the application only returns the required subset of fields from a data object. For example, it should not return an entire data object, as some individual fields should not be accessible to users.</t>
  </si>
  <si>
    <t xml:space="preserve">V15.3.2</t>
  </si>
  <si>
    <t xml:space="preserve">Verify that where the application backend makes calls to external URLs, it is configured to not follow redirects unless it is intended functionality.</t>
  </si>
  <si>
    <t xml:space="preserve">V15.3.3</t>
  </si>
  <si>
    <t xml:space="preserve">Verify that the application has countermeasures to protect against mass assignment attacks by limiting allowed fields per controller and action, e.g., it is not possible to insert or update a field value when it was not intended to be part of that action.</t>
  </si>
  <si>
    <t xml:space="preserve">Mass assignment is prevented through explicit DTOs for all write operations. Task operations use CreateTaskRequest, UpdateTaskRequest, ChangeTaskStatusRequest, and AssignTaskRequest restricting fields per action. Project operations use CreateProjectRequest and UpdateProjectRequest restricting input to name and description. Comment operations use CreateCommentRequest and UpdateCommentRequest restricting input to content only. Attachment upload accepts only a MultipartFile via @RequestParam("file") — no JSON body is accepted, preventing mass assignment entirely. In all services, fields are explicitly mapped one by one and request objects are never passed directly to the repository.</t>
  </si>
  <si>
    <t xml:space="preserve">src/main/java/com/desofs/task/dto/, src/main/java/com/desofs/project/dto/, src/main/java/com/desofs/comment/dto/, src/main/java/com/desofs/attachment/AttachmentController.java</t>
  </si>
  <si>
    <t xml:space="preserve">V15.3.4</t>
  </si>
  <si>
    <t xml:space="preserve">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</si>
  <si>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 xml:space="preserve">V15.3.5</t>
  </si>
  <si>
    <t xml:space="preserve">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</si>
  <si>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 xml:space="preserve">V15.3.6</t>
  </si>
  <si>
    <t xml:space="preserve">Verify that JavaScript code is written in a way that prevents prototype pollution, for example, by using Set() or Map() instead of object literals.</t>
  </si>
  <si>
    <t xml:space="preserve">V15.3.7</t>
  </si>
  <si>
    <t xml:space="preserve">Verify that the application has defenses against HTTP parameter pollution attacks, particularly if the application framework makes no distinction about the source of request parameters (query string, body parameters, cookies, or header fields).</t>
  </si>
  <si>
    <t xml:space="preserve">V15.4</t>
  </si>
  <si>
    <t xml:space="preserve">Safe Concurrency</t>
  </si>
  <si>
    <t xml:space="preserve">V15.4.1</t>
  </si>
  <si>
    <t xml:space="preserve">Verify that shared objects in multi-threaded code (such as caches, files, or in-memory objects accessed by multiple threads) are accessed safely by using thread-safe types and synchronization mechanisms like locks or semaphores to avoid race conditions and data corruption.</t>
  </si>
  <si>
    <t xml:space="preserve">V15.4.2</t>
  </si>
  <si>
    <t xml:space="preserve">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</si>
  <si>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 xml:space="preserve">State checks and dependent actions are performed atomically within @Transactional boundaries. In AttachmentService.delete(), existence check (getAttachment()), permission check (requireCanDelete()), and file deletion are executed in a single transaction. In TaskService.changeTaskStatus(), status transition validation (canTransitionTo()) and persistence are atomic. In AttachmentService.store(), rate limit check (enforceUploadRateLimit()) and file persistence are within the same transaction, preventing TOCTOU race conditions.</t>
  </si>
  <si>
    <t xml:space="preserve">src/main/java/com/desofs/attachment/AttachmentService.java, src/main/java/com/desofs/task/TaskService.java</t>
  </si>
  <si>
    <t xml:space="preserve">V15.4.3</t>
  </si>
  <si>
    <t xml:space="preserve">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</si>
  <si>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 xml:space="preserve">V15.4.4</t>
  </si>
  <si>
    <t xml:space="preserve">Verify that resource allocation policies prevent thread starvation by ensuring fair access to resources, such as by leveraging thread pools, allowing lower-priority threads to proceed within a reasonable timeframe.</t>
  </si>
  <si>
    <t xml:space="preserve">V16.1</t>
  </si>
  <si>
    <t xml:space="preserve">Security Logging Documentation</t>
  </si>
  <si>
    <t xml:space="preserve">V16.1.1</t>
  </si>
  <si>
    <t xml:space="preserve">Verify that an inventory exists documenting the logging performed at each layer of the application's technology stack, what events are being logged, log formats, where that logging is stored, how it is used, how access to it is controlled, and for how long logs are kept.</t>
  </si>
  <si>
    <t xml:space="preserve">V16.2</t>
  </si>
  <si>
    <t xml:space="preserve">General Logging</t>
  </si>
  <si>
    <t xml:space="preserve">V16.2.1</t>
  </si>
  <si>
    <t xml:space="preserve">Verify that each log entry includes necessary metadata (such as when, where, who, what) that would allow for a detailed investigation of the timeline when an event happens.</t>
  </si>
  <si>
    <t xml:space="preserve">Each audit event captures: occurredAt (when), resourceType + resourceId (where), actor (who), action (what), success flag, and details. All security-relevant operations are logged: authentication (register, login, lockout, logout, refresh), project operations (create, read, update, delete, member add/remove), task operations via TaskService, attachment operations (upload, download, delete), role changes, and session termination. Events are persisted to the database via AuditEventRepository for durable storage and timeline investigation.</t>
  </si>
  <si>
    <t xml:space="preserve">src/main/java/com/desofs/audit/AuditEvent.java, src/main/java/com/desofs/audit/AuditService.java, src/main/java/com/desofs/audit/AuditAction.java</t>
  </si>
  <si>
    <t xml:space="preserve">V16.2.2</t>
  </si>
  <si>
    <t xml:space="preserve">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</si>
  <si>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 xml:space="preserve">V16.2.3</t>
  </si>
  <si>
    <t xml:space="preserve">Verify that the application only stores or broadcasts logs to the files and services that are documented in the log inventory.</t>
  </si>
  <si>
    <t xml:space="preserve">V16.2.4</t>
  </si>
  <si>
    <t xml:space="preserve">Verify that logs can be read and correlated by the log processor that is in use, preferably by using a common logging format.</t>
  </si>
  <si>
    <t xml:space="preserve">V16.2.5</t>
  </si>
  <si>
    <t xml:space="preserve">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</si>
  <si>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 xml:space="preserve">Sensitive data is never logged: passwords are hashed with BCrypt before persistence and never appear in audit entries; JWT tokens are not recorded in audit logs; refresh tokens are not logged. Authentication failure audit entries record only the actor email and the action type — exception messages are limited to "Invalid credentials" and "Account temporarily locked", containing no credential data. Attachment filenames stored in audit details are original user-provided names with no sensitive content. No payment data exists in the application scope.</t>
  </si>
  <si>
    <t xml:space="preserve">src/main/java/com/desofs/audit/AuditService.java, src/main/java/com/desofs/auth/AuthController.java, src/main/java/com/desofs/auth/AuthService.java</t>
  </si>
  <si>
    <t xml:space="preserve">V16.3</t>
  </si>
  <si>
    <t xml:space="preserve">Security Events</t>
  </si>
  <si>
    <t xml:space="preserve">V16.3.1</t>
  </si>
  <si>
    <t xml:space="preserve">Verify that all authentication operations are logged, including successful and unsuccessful attempts. Additional metadata, such as the type of authentication or factors used, should also be collected.</t>
  </si>
  <si>
    <t xml:space="preserve">V16.3.2</t>
  </si>
  <si>
    <t xml:space="preserve">Verify that failed authorization attempts are logged. For L3, this must include logging all authorization decisions, including logging when sensitive data is accessed (without logging the sensitive data itself).</t>
  </si>
  <si>
    <t xml:space="preserve">V16.3.3</t>
  </si>
  <si>
    <t xml:space="preserve">Verify that the application logs the security events that are defined in the documentation and also logs attempts to bypass the security controls, such as input validation, business logic, and anti-automation.</t>
  </si>
  <si>
    <t xml:space="preserve">V16.3.4</t>
  </si>
  <si>
    <t xml:space="preserve">Verify that the application logs unexpected errors and security control failures such as backend TLS failures.</t>
  </si>
  <si>
    <t xml:space="preserve">A global @RestControllerAdvice (GlobalExceptionHandler) catches all unhandled exceptions, logs them internally via SLF4J with full stack trace, and records a structured audit event with AuditAction.UNEXPECTED_ERROR including the exception class and message. Spring Boot default error response is configured to suppress message, stack trace, exception class, and binding errors via server.error.* properties.</t>
  </si>
  <si>
    <t xml:space="preserve">src/main/java/com/desofs/config/GlobalExceptionHandler.java, src/main/resources/application.yml</t>
  </si>
  <si>
    <t xml:space="preserve">V16.4</t>
  </si>
  <si>
    <t xml:space="preserve">Log Protection</t>
  </si>
  <si>
    <t xml:space="preserve">V16.4.1</t>
  </si>
  <si>
    <t xml:space="preserve">Verify that all logging components appropriately encode data to prevent log injection.</t>
  </si>
  <si>
    <t xml:space="preserve">V16.4.2</t>
  </si>
  <si>
    <t xml:space="preserve">Verify that logs are protected from unauthorized access and cannot be modified.</t>
  </si>
  <si>
    <t xml:space="preserve">V16.4.3</t>
  </si>
  <si>
    <t xml:space="preserve">Verify that logs are securely transmitted to a logically separate system for analysis, detection, alerting, and escalation. The aim is to ensure that if the application is breached, the logs are not compromised.</t>
  </si>
  <si>
    <t xml:space="preserve">V16.5</t>
  </si>
  <si>
    <t xml:space="preserve">Error Handling</t>
  </si>
  <si>
    <t xml:space="preserve">V16.5.1</t>
  </si>
  <si>
    <t xml:space="preserve">Verify that a generic message is returned to the consumer when an unexpected or security-sensitive error occurs, ensuring no exposure of sensitive internal system data such as stack traces, queries, secret keys, and tokens.</t>
  </si>
  <si>
    <t xml:space="preserve">All unexpected errors return a generic {"error": "An unexpected error occurred"} response via GlobalExceptionHandler, preventing exposure of stack traces, queries, secret keys, or tokens. Confirmed via manual testing — /actuator/health and non-existent endpoints return only the generic message. Spring Boot default error page is disabled via server.error.include-message=never, include-stacktrace=never, include-exception=false. Business logic exceptions return controlled messages defined in the service layer.</t>
  </si>
  <si>
    <t xml:space="preserve">V16.5.2</t>
  </si>
  <si>
    <t xml:space="preserve">Verify that the application continues to operate securely when external resource access fails, for example, by using patterns such as circuit breakers or graceful degradation.</t>
  </si>
  <si>
    <t xml:space="preserve">V16.5.3</t>
  </si>
  <si>
    <t xml:space="preserve">Verify that the application fails gracefully and securely, including when an exception occurs, preventing fail-open conditions such as processing a transaction despite errors resulting from validation logic.</t>
  </si>
  <si>
    <t xml:space="preserve">V16.5.4</t>
  </si>
  <si>
    <t xml:space="preserve">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</si>
  <si>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 xml:space="preserve">V17.1</t>
  </si>
  <si>
    <t xml:space="preserve">TURN Server</t>
  </si>
  <si>
    <t xml:space="preserve">V17.1.1</t>
  </si>
  <si>
    <t xml:space="preserve">Verify that the Traversal Using Relays around NAT (TURN) service only allows access to IP addresses that are not reserved for special purposes (e.g., internal networks, broadcast, loopback). Note that this applies to both IPv4 and IPv6 addresses.</t>
  </si>
  <si>
    <t xml:space="preserve">V17.1.2</t>
  </si>
  <si>
    <t xml:space="preserve">Verify that the Traversal Using Relays around NAT (TURN) service is not susceptible to resource exhaustion when legitimate users attempt to open a large number of ports on the TURN server.</t>
  </si>
  <si>
    <t xml:space="preserve">V17.2</t>
  </si>
  <si>
    <t xml:space="preserve">Media</t>
  </si>
  <si>
    <t xml:space="preserve">V17.2.1</t>
  </si>
  <si>
    <t xml:space="preserve">Verify that the key for the Datagram Transport Layer Security (DTLS) certificate is managed and protected based on the documented policy for management of cryptographic keys.</t>
  </si>
  <si>
    <t xml:space="preserve">V17.2.2</t>
  </si>
  <si>
    <t xml:space="preserve">Verify that the media server is configured to use and support approved Datagram Transport Layer Security (DTLS) cipher suites and a secure protection profile for the DTLS Extension for establishing keys for the Secure Real-time Transport Protocol (DTLS-SRTP).</t>
  </si>
  <si>
    <t xml:space="preserve">V17.2.3</t>
  </si>
  <si>
    <t xml:space="preserve">Verify that Secure Real-time Transport Protocol (SRTP) authentication is checked at the media server to prevent Real-time Transport Protocol (RTP) injection attacks from leading to either a Denial of Service condition or audio or video media insertion into media streams.</t>
  </si>
  <si>
    <t xml:space="preserve">V17.2.4</t>
  </si>
  <si>
    <t xml:space="preserve">Verify that the media server is able to continue processing incoming media traffic when encountering malformed Secure Real-time Transport Protocol (SRTP) packets.</t>
  </si>
  <si>
    <t xml:space="preserve">V17.2.5</t>
  </si>
  <si>
    <t xml:space="preserve">Verify that the media server is able to continue processing incoming media traffic during a flood of Secure Real-time Transport Protocol (SRTP) packets from legitimate users.</t>
  </si>
  <si>
    <t xml:space="preserve">V17.2.6</t>
  </si>
  <si>
    <t xml:space="preserve">Verify that the media server is not susceptible to the "ClientHello" Race Condition vulnerability in Datagram Transport Layer Security (DTLS) by checking if the media server is publicly known to be vulnerable or by performing the race condition test.</t>
  </si>
  <si>
    <t xml:space="preserve">V17.2.7</t>
  </si>
  <si>
    <t xml:space="preserve">Verify that any audio or video recording mechanisms associated with the media server are able to continue processing incoming media traffic during a flood of Secure Real-time Transport Protocol (SRTP) packets from legitimate users.</t>
  </si>
  <si>
    <t xml:space="preserve">V17.2.8</t>
  </si>
  <si>
    <t xml:space="preserve">Verify that the Datagram Transport Layer Security (DTLS) certificate is checked against the Session Description Protocol (SDP) fingerprint attribute, terminating the media stream if the check fails, to ensure the authenticity of the media stream.</t>
  </si>
  <si>
    <t xml:space="preserve">V17.3</t>
  </si>
  <si>
    <t xml:space="preserve">Signaling</t>
  </si>
  <si>
    <t xml:space="preserve">V17.3.1</t>
  </si>
  <si>
    <t xml:space="preserve">Verify that the signaling server is able to continue processing legitimate incoming signaling messages during a flood attack. This should be achieved by implementing rate limiting at the signaling level.</t>
  </si>
  <si>
    <t xml:space="preserve">V17.3.2</t>
  </si>
  <si>
    <t xml:space="preserve">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</si>
</sst>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numFmts count="3">
    <numFmt numFmtId="164" formatCode="General"/>
    <numFmt numFmtId="165" formatCode="0%"/>
    <numFmt numFmtId="166"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FFFFFF"/>
      <name val="Cambria"/>
      <family val="1"/>
      <charset val="1"/>
    </font>
    <font>
      <i val="true"/>
      <sz val="10"/>
      <color rgb="FF595959"/>
      <name val="Cambria"/>
      <family val="1"/>
      <charset val="1"/>
    </font>
    <font>
      <b val="true"/>
      <sz val="10"/>
      <name val="Cambria"/>
      <family val="1"/>
      <charset val="1"/>
    </font>
    <font>
      <b val="true"/>
      <sz val="9"/>
      <name val="Cambria"/>
      <family val="1"/>
      <charset val="1"/>
    </font>
    <font>
      <b val="true"/>
      <sz val="9"/>
      <color rgb="FFFFFFFF"/>
      <name val="Cambria"/>
      <family val="1"/>
      <charset val="1"/>
    </font>
    <font>
      <sz val="10"/>
      <name val="Cambria"/>
      <family val="1"/>
      <charset val="1"/>
    </font>
    <font>
      <b val="true"/>
      <sz val="11"/>
      <color rgb="FFFFFFFF"/>
      <name val="Cambria"/>
      <family val="1"/>
      <charset val="1"/>
    </font>
    <font>
      <b val="true"/>
      <sz val="10"/>
      <color rgb="FFFFFFFF"/>
      <name val="Cambria"/>
      <family val="1"/>
      <charset val="1"/>
    </font>
    <font>
      <b val="true"/>
      <sz val="10"/>
      <color rgb="FF1F3864"/>
      <name val="Cambria"/>
      <family val="1"/>
      <charset val="1"/>
    </font>
    <font>
      <sz val="11"/>
      <color rgb="FF000000"/>
      <name val="Calibri"/>
      <family val="2"/>
      <charset val="1"/>
    </font>
    <font>
      <b val="true"/>
      <sz val="11"/>
      <name val="Cambria"/>
      <family val="0"/>
      <charset val="1"/>
    </font>
    <font>
      <sz val="11"/>
      <name val="Calibri"/>
      <family val="2"/>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left" vertical="center" textRotation="0" wrapText="false" indent="0" shrinkToFit="false"/>
      <protection locked="true" hidden="false"/>
    </xf>
    <xf numFmtId="164" fontId="9" fillId="3" borderId="1" xfId="0" applyFont="true" applyBorder="true" applyAlignment="true" applyProtection="true">
      <alignment horizontal="center" vertical="center" textRotation="0" wrapText="false" indent="0" shrinkToFit="false"/>
      <protection locked="true" hidden="false"/>
    </xf>
    <xf numFmtId="165" fontId="9" fillId="3" borderId="1"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left" vertical="center" textRotation="0" wrapText="false" indent="0" shrinkToFit="false"/>
      <protection locked="true" hidden="false"/>
    </xf>
    <xf numFmtId="164" fontId="9" fillId="4" borderId="1" xfId="0" applyFont="true" applyBorder="true" applyAlignment="true" applyProtection="true">
      <alignment horizontal="center" vertical="center" textRotation="0" wrapText="false" indent="0" shrinkToFit="false"/>
      <protection locked="true" hidden="false"/>
    </xf>
    <xf numFmtId="165" fontId="9" fillId="4" borderId="1" xfId="0" applyFont="true" applyBorder="true" applyAlignment="true" applyProtection="true">
      <alignment horizontal="center" vertical="center" textRotation="0" wrapText="false" indent="0" shrinkToFit="false"/>
      <protection locked="true" hidden="false"/>
    </xf>
    <xf numFmtId="164" fontId="10" fillId="2" borderId="1" xfId="0" applyFont="true" applyBorder="true" applyAlignment="true" applyProtection="true">
      <alignment horizontal="general" vertical="bottom" textRotation="0" wrapText="false" indent="0" shrinkToFit="false"/>
      <protection locked="true" hidden="false"/>
    </xf>
    <xf numFmtId="166" fontId="11" fillId="2" borderId="1" xfId="0" applyFont="true" applyBorder="true" applyAlignment="true" applyProtection="true">
      <alignment horizontal="center" vertical="center" textRotation="0" wrapText="false" indent="0" shrinkToFit="false"/>
      <protection locked="true" hidden="false"/>
    </xf>
    <xf numFmtId="165" fontId="11" fillId="2" borderId="1" xfId="0" applyFont="true" applyBorder="true" applyAlignment="true" applyProtection="true">
      <alignment horizontal="center" vertical="center" textRotation="0" wrapText="false" indent="0" shrinkToFit="false"/>
      <protection locked="true" hidden="false"/>
    </xf>
    <xf numFmtId="164" fontId="11" fillId="2" borderId="1" xfId="0" applyFont="true" applyBorder="true" applyAlignment="true" applyProtection="true">
      <alignment horizontal="center" vertical="center" textRotation="0" wrapText="true" indent="0" shrinkToFit="false"/>
      <protection locked="true" hidden="false"/>
    </xf>
    <xf numFmtId="164" fontId="12" fillId="5" borderId="1" xfId="0" applyFont="true" applyBorder="true" applyAlignment="true" applyProtection="true">
      <alignment horizontal="left" vertical="center" textRotation="0" wrapText="false" indent="0" shrinkToFit="false"/>
      <protection locked="true" hidden="false"/>
    </xf>
    <xf numFmtId="164" fontId="13" fillId="3" borderId="1" xfId="0" applyFont="true" applyBorder="true" applyAlignment="true" applyProtection="true">
      <alignment horizontal="general" vertical="bottom" textRotation="0" wrapText="false" indent="0" shrinkToFit="false"/>
      <protection locked="true" hidden="false"/>
    </xf>
    <xf numFmtId="164" fontId="13" fillId="3" borderId="1" xfId="0" applyFont="true" applyBorder="true" applyAlignment="true" applyProtection="true">
      <alignment horizontal="center" vertical="top" textRotation="0" wrapText="false" indent="0" shrinkToFit="false"/>
      <protection locked="true" hidden="false"/>
    </xf>
    <xf numFmtId="164" fontId="13" fillId="3" borderId="1" xfId="0" applyFont="true" applyBorder="true" applyAlignment="true" applyProtection="true">
      <alignment horizontal="left" vertical="top" textRotation="0" wrapText="true" indent="0" shrinkToFit="false"/>
      <protection locked="true" hidden="false"/>
    </xf>
    <xf numFmtId="164" fontId="6" fillId="6" borderId="1" xfId="0" applyFont="true" applyBorder="true" applyAlignment="true" applyProtection="true">
      <alignment horizontal="center" vertical="top" textRotation="0" wrapText="false" indent="0" shrinkToFit="false"/>
      <protection locked="true" hidden="false"/>
    </xf>
    <xf numFmtId="164" fontId="13" fillId="7" borderId="1" xfId="0" applyFont="true" applyBorder="true" applyAlignment="true" applyProtection="true">
      <alignment horizontal="center" vertical="top" textRotation="0" wrapText="false" indent="0" shrinkToFit="false"/>
      <protection locked="true" hidden="false"/>
    </xf>
    <xf numFmtId="164" fontId="13" fillId="3" borderId="1"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center" vertical="center" textRotation="0" wrapText="true" indent="0" shrinkToFit="false"/>
      <protection locked="true" hidden="false"/>
    </xf>
    <xf numFmtId="164" fontId="13" fillId="4" borderId="1" xfId="0" applyFont="true" applyBorder="true" applyAlignment="true" applyProtection="true">
      <alignment horizontal="general" vertical="bottom" textRotation="0" wrapText="false" indent="0" shrinkToFit="false"/>
      <protection locked="true" hidden="false"/>
    </xf>
    <xf numFmtId="164" fontId="13" fillId="4" borderId="1" xfId="0" applyFont="true" applyBorder="true" applyAlignment="true" applyProtection="true">
      <alignment horizontal="center" vertical="top" textRotation="0" wrapText="false" indent="0" shrinkToFit="false"/>
      <protection locked="true" hidden="false"/>
    </xf>
    <xf numFmtId="164" fontId="13" fillId="4" borderId="1" xfId="0" applyFont="true" applyBorder="true" applyAlignment="true" applyProtection="true">
      <alignment horizontal="left" vertical="top" textRotation="0" wrapText="true" indent="0" shrinkToFit="false"/>
      <protection locked="true" hidden="false"/>
    </xf>
    <xf numFmtId="164" fontId="13" fillId="4" borderId="1" xfId="0" applyFont="true" applyBorder="true" applyAlignment="true" applyProtection="true">
      <alignment horizontal="center" vertical="center" textRotation="0" wrapText="true" indent="0" shrinkToFit="false"/>
      <protection locked="true" hidden="false"/>
    </xf>
    <xf numFmtId="164" fontId="12" fillId="5" borderId="1" xfId="0" applyFont="true" applyBorder="true" applyAlignment="true" applyProtection="true">
      <alignment horizontal="center" vertical="center" textRotation="0" wrapText="false" indent="0" shrinkToFit="false"/>
      <protection locked="true" hidden="false"/>
    </xf>
    <xf numFmtId="164" fontId="6" fillId="8" borderId="1" xfId="0" applyFont="true" applyBorder="true" applyAlignment="true" applyProtection="true">
      <alignment horizontal="center" vertical="top" textRotation="0" wrapText="false" indent="0" shrinkToFit="false"/>
      <protection locked="true" hidden="false"/>
    </xf>
    <xf numFmtId="164" fontId="6" fillId="9" borderId="1" xfId="0" applyFont="true" applyBorder="true" applyAlignment="true" applyProtection="true">
      <alignment horizontal="center" vertical="top" textRotation="0" wrapText="fals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3" fillId="3" borderId="1" xfId="0" applyFont="true" applyBorder="true" applyAlignment="true" applyProtection="true">
      <alignment horizontal="center" vertical="top" textRotation="0" wrapText="true" indent="0" shrinkToFit="false"/>
      <protection locked="true" hidden="false"/>
    </xf>
    <xf numFmtId="164" fontId="12" fillId="5" borderId="1" xfId="0" applyFont="true" applyBorder="true" applyAlignment="true" applyProtection="true">
      <alignment horizontal="center" vertical="top" textRotation="0" wrapText="false" indent="0" shrinkToFit="false"/>
      <protection locked="true" hidden="false"/>
    </xf>
    <xf numFmtId="164" fontId="14" fillId="2" borderId="1" xfId="0" applyFont="true" applyBorder="true" applyAlignment="true" applyProtection="true">
      <alignment horizontal="center" vertical="center" textRotation="0" wrapText="true" indent="0" shrinkToFit="false"/>
      <protection locked="true" hidden="false"/>
    </xf>
    <xf numFmtId="164" fontId="14" fillId="5" borderId="1" xfId="0" applyFont="true" applyBorder="true" applyAlignment="true" applyProtection="true">
      <alignment horizontal="left" vertical="center" textRotation="0" wrapText="false" indent="0" shrinkToFit="false"/>
      <protection locked="true" hidden="false"/>
    </xf>
    <xf numFmtId="164" fontId="14" fillId="6" borderId="1" xfId="0" applyFont="true" applyBorder="true" applyAlignment="true" applyProtection="true">
      <alignment horizontal="center" vertical="top" textRotation="0" wrapText="false" indent="0" shrinkToFit="false"/>
      <protection locked="true" hidden="false"/>
    </xf>
    <xf numFmtId="164" fontId="14" fillId="8" borderId="1" xfId="0" applyFont="true" applyBorder="true" applyAlignment="true" applyProtection="true">
      <alignment horizontal="center" vertical="top" textRotation="0" wrapText="false" indent="0" shrinkToFit="false"/>
      <protection locked="true" hidden="false"/>
    </xf>
    <xf numFmtId="164" fontId="14" fillId="9" borderId="1" xfId="0" applyFont="true" applyBorder="true" applyAlignment="true" applyProtection="true">
      <alignment horizontal="center" vertical="top" textRotation="0" wrapText="false" indent="0" shrinkToFit="false"/>
      <protection locked="true" hidden="false"/>
    </xf>
    <xf numFmtId="164" fontId="13" fillId="3" borderId="1" xfId="0" applyFont="true" applyBorder="true" applyAlignment="true" applyProtection="true">
      <alignment horizontal="right" vertical="top" textRotation="0" wrapText="true" indent="0" shrinkToFit="false"/>
      <protection locked="true" hidden="false"/>
    </xf>
    <xf numFmtId="164" fontId="15" fillId="3" borderId="1" xfId="0" applyFont="true" applyBorder="true" applyAlignment="true" applyProtection="true">
      <alignment horizontal="left" vertical="top" textRotation="0" wrapText="true" indent="0" shrinkToFit="false"/>
      <protection locked="true" hidden="false"/>
    </xf>
    <xf numFmtId="164" fontId="13" fillId="7" borderId="1"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2"/>
        <color rgb="FF000000"/>
        <sz val="11"/>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3" activeCellId="0" sqref="E13"/>
    </sheetView>
  </sheetViews>
  <sheetFormatPr defaultColWidth="8.50390625" defaultRowHeight="15" zeroHeight="false" outlineLevelRow="0" outlineLevelCol="0"/>
  <cols>
    <col collapsed="false" customWidth="true" hidden="false" outlineLevel="0" max="1" min="1" style="1" width="34"/>
    <col collapsed="false" customWidth="true" hidden="false" outlineLevel="0" max="13" min="2" style="1" width="11"/>
  </cols>
  <sheetData>
    <row r="1" customFormat="false" ht="36" hidden="false" customHeight="true" outlineLevel="0" collapsed="false">
      <c r="A1" s="2" t="s">
        <v>0</v>
      </c>
      <c r="B1" s="2"/>
      <c r="C1" s="2"/>
      <c r="D1" s="2"/>
      <c r="E1" s="2"/>
      <c r="F1" s="2"/>
      <c r="G1" s="2"/>
      <c r="H1" s="2"/>
      <c r="I1" s="2"/>
      <c r="J1" s="2"/>
      <c r="K1" s="2"/>
      <c r="L1" s="2"/>
      <c r="M1" s="2"/>
      <c r="N1" s="2"/>
      <c r="O1" s="2"/>
      <c r="P1" s="2"/>
    </row>
    <row r="2" customFormat="false" ht="19.5" hidden="false" customHeight="true" outlineLevel="0" collapsed="false">
      <c r="A2" s="3"/>
      <c r="B2" s="3"/>
      <c r="C2" s="3"/>
      <c r="D2" s="3"/>
      <c r="E2" s="3"/>
      <c r="F2" s="3"/>
      <c r="G2" s="3"/>
      <c r="H2" s="3"/>
      <c r="I2" s="3"/>
      <c r="J2" s="3"/>
      <c r="K2" s="3"/>
      <c r="L2" s="3"/>
      <c r="M2" s="3"/>
      <c r="N2" s="3"/>
      <c r="O2" s="3"/>
      <c r="P2" s="3"/>
    </row>
    <row r="3" customFormat="false" ht="18" hidden="false" customHeight="true" outlineLevel="0" collapsed="false">
      <c r="A3" s="4"/>
      <c r="B3" s="4"/>
      <c r="C3" s="5"/>
      <c r="E3" s="5"/>
      <c r="G3" s="5"/>
      <c r="I3" s="5"/>
      <c r="K3" s="5"/>
      <c r="M3" s="5"/>
      <c r="O3" s="5"/>
    </row>
    <row r="5" customFormat="false" ht="31.5" hidden="false" customHeight="true" outlineLevel="0" collapsed="false">
      <c r="A5" s="6" t="s">
        <v>1</v>
      </c>
      <c r="B5" s="6" t="s">
        <v>2</v>
      </c>
      <c r="C5" s="6" t="s">
        <v>3</v>
      </c>
      <c r="D5" s="6" t="s">
        <v>4</v>
      </c>
      <c r="E5" s="6" t="s">
        <v>5</v>
      </c>
      <c r="F5" s="6" t="s">
        <v>6</v>
      </c>
      <c r="G5" s="6" t="s">
        <v>7</v>
      </c>
      <c r="H5" s="6" t="s">
        <v>8</v>
      </c>
      <c r="I5" s="6" t="s">
        <v>9</v>
      </c>
      <c r="J5" s="6" t="s">
        <v>10</v>
      </c>
      <c r="K5" s="6" t="s">
        <v>11</v>
      </c>
      <c r="L5" s="6" t="s">
        <v>12</v>
      </c>
      <c r="M5" s="6" t="s">
        <v>13</v>
      </c>
    </row>
    <row r="6" customFormat="false" ht="18" hidden="false" customHeight="true" outlineLevel="0" collapsed="false">
      <c r="A6" s="7" t="s">
        <v>14</v>
      </c>
      <c r="B6" s="8" t="n">
        <v>30</v>
      </c>
      <c r="C6" s="8" t="n">
        <v>8</v>
      </c>
      <c r="D6" s="8" t="n">
        <f aca="false">COUNTIFS('V1 - Encoding and Sanitization'!$F$2:$F$36,"Compliant",'V1 - Encoding and Sanitization'!$E$2:$E$36,1)</f>
        <v>5</v>
      </c>
      <c r="E6" s="9" t="n">
        <f aca="false">IF(C6=0,"",D6/C6)</f>
        <v>0.625</v>
      </c>
      <c r="F6" s="8" t="n">
        <v>19</v>
      </c>
      <c r="G6" s="8" t="n">
        <f aca="false">COUNTIFS('V1 - Encoding and Sanitization'!$F$2:$F$36,"Compliant",'V1 - Encoding and Sanitization'!$E$2:$E$36,2)</f>
        <v>6</v>
      </c>
      <c r="H6" s="9" t="n">
        <f aca="false">IF(F6=0,"",G6/F6)</f>
        <v>0.315789473684211</v>
      </c>
      <c r="I6" s="8" t="n">
        <v>3</v>
      </c>
      <c r="J6" s="8" t="n">
        <f aca="false">COUNTIFS('V1 - Encoding and Sanitization'!$F$2:$F$36,"Compliant",'V1 - Encoding and Sanitization'!$E$2:$E$36,3)</f>
        <v>2</v>
      </c>
      <c r="K6" s="9" t="n">
        <f aca="false">IF(I6=0,"",J6/I6)</f>
        <v>0.666666666666667</v>
      </c>
      <c r="L6" s="8" t="n">
        <f aca="false">COUNTIF('V1 - Encoding and Sanitization'!$F$2:$F$36,"Compliant")</f>
        <v>13</v>
      </c>
      <c r="M6" s="9" t="n">
        <f aca="false">IF(B6=0,"",L6/B6)</f>
        <v>0.433333333333333</v>
      </c>
    </row>
    <row r="7" customFormat="false" ht="18" hidden="false" customHeight="true" outlineLevel="0" collapsed="false">
      <c r="A7" s="10" t="s">
        <v>15</v>
      </c>
      <c r="B7" s="11" t="n">
        <v>13</v>
      </c>
      <c r="C7" s="11" t="n">
        <v>4</v>
      </c>
      <c r="D7" s="11" t="n">
        <f aca="false">COUNTIFS('V2 - Validation and Business Lo'!$F$2:$F$18,"Compliant",'V2 - Validation and Business Lo'!$E$2:$E$18,1)</f>
        <v>4</v>
      </c>
      <c r="E7" s="12" t="n">
        <f aca="false">IF(C7=0,"",D7/C7)</f>
        <v>1</v>
      </c>
      <c r="F7" s="11" t="n">
        <v>7</v>
      </c>
      <c r="G7" s="11" t="n">
        <f aca="false">COUNTIFS('V2 - Validation and Business Lo'!$F$2:$F$18,"Compliant",'V2 - Validation and Business Lo'!$E$2:$E$18,2)</f>
        <v>5</v>
      </c>
      <c r="H7" s="12" t="n">
        <f aca="false">IF(F7=0,"",G7/F7)</f>
        <v>0.714285714285714</v>
      </c>
      <c r="I7" s="11" t="n">
        <v>2</v>
      </c>
      <c r="J7" s="11" t="n">
        <f aca="false">COUNTIFS('V2 - Validation and Business Lo'!$F$2:$F$18,"Compliant",'V2 - Validation and Business Lo'!$E$2:$E$18,3)</f>
        <v>0</v>
      </c>
      <c r="K7" s="12" t="n">
        <f aca="false">IF(I7=0,"",J7/I7)</f>
        <v>0</v>
      </c>
      <c r="L7" s="11" t="n">
        <f aca="false">COUNTIF('V2 - Validation and Business Lo'!$F$2:$F$18,"Compliant")</f>
        <v>9</v>
      </c>
      <c r="M7" s="12" t="n">
        <f aca="false">IF(B7=0,"",L7/B7)</f>
        <v>0.692307692307692</v>
      </c>
    </row>
    <row r="8" customFormat="false" ht="18" hidden="false" customHeight="true" outlineLevel="0" collapsed="false">
      <c r="A8" s="7" t="s">
        <v>16</v>
      </c>
      <c r="B8" s="8" t="n">
        <v>31</v>
      </c>
      <c r="C8" s="8" t="n">
        <v>8</v>
      </c>
      <c r="D8" s="8" t="n">
        <f aca="false">COUNTIFS('V3 - Web Frontend Security'!$F$2:$F$39,"Compliant",'V3 - Web Frontend Security'!$E$2:$E$39,1)</f>
        <v>1</v>
      </c>
      <c r="E8" s="9" t="n">
        <f aca="false">IF(C8=0,"",D8/C8)</f>
        <v>0.125</v>
      </c>
      <c r="F8" s="8" t="n">
        <v>11</v>
      </c>
      <c r="G8" s="8" t="n">
        <f aca="false">COUNTIFS('V3 - Web Frontend Security'!$F$2:$F$39,"Compliant",'V3 - Web Frontend Security'!$E$2:$E$39,2)</f>
        <v>0</v>
      </c>
      <c r="H8" s="9" t="n">
        <f aca="false">IF(F8=0,"",G8/F8)</f>
        <v>0</v>
      </c>
      <c r="I8" s="8" t="n">
        <v>12</v>
      </c>
      <c r="J8" s="8" t="n">
        <f aca="false">COUNTIFS('V3 - Web Frontend Security'!$F$2:$F$39,"Compliant",'V3 - Web Frontend Security'!$E$2:$E$39,3)</f>
        <v>0</v>
      </c>
      <c r="K8" s="9" t="n">
        <f aca="false">IF(I8=0,"",J8/I8)</f>
        <v>0</v>
      </c>
      <c r="L8" s="8" t="n">
        <f aca="false">COUNTIF('V3 - Web Frontend Security'!$F$2:$F$39,"Compliant")</f>
        <v>1</v>
      </c>
      <c r="M8" s="9" t="n">
        <f aca="false">IF(B8=0,"",L8/B8)</f>
        <v>0.032258064516129</v>
      </c>
    </row>
    <row r="9" customFormat="false" ht="18" hidden="false" customHeight="true" outlineLevel="0" collapsed="false">
      <c r="A9" s="10" t="s">
        <v>17</v>
      </c>
      <c r="B9" s="11" t="n">
        <v>16</v>
      </c>
      <c r="C9" s="11" t="n">
        <v>2</v>
      </c>
      <c r="D9" s="11" t="n">
        <f aca="false">COUNTIFS('V4 - API and Web Service'!$F$2:$F$21,"Compliant",'V4 - API and Web Service'!$E$2:$E$21,1)</f>
        <v>1</v>
      </c>
      <c r="E9" s="12" t="n">
        <f aca="false">IF(C9=0,"",D9/C9)</f>
        <v>0.5</v>
      </c>
      <c r="F9" s="11" t="n">
        <v>8</v>
      </c>
      <c r="G9" s="11" t="n">
        <f aca="false">COUNTIFS('V4 - API and Web Service'!$F$2:$F$21,"Compliant",'V4 - API and Web Service'!$E$2:$E$21,2)</f>
        <v>0</v>
      </c>
      <c r="H9" s="12" t="n">
        <f aca="false">IF(F9=0,"",G9/F9)</f>
        <v>0</v>
      </c>
      <c r="I9" s="11" t="n">
        <v>6</v>
      </c>
      <c r="J9" s="11" t="n">
        <f aca="false">COUNTIFS('V4 - API and Web Service'!$F$2:$F$21,"Compliant",'V4 - API and Web Service'!$E$2:$E$21,3)</f>
        <v>0</v>
      </c>
      <c r="K9" s="12" t="n">
        <f aca="false">IF(I9=0,"",J9/I9)</f>
        <v>0</v>
      </c>
      <c r="L9" s="11" t="n">
        <f aca="false">COUNTIF('V4 - API and Web Service'!$F$2:$F$21,"Compliant")</f>
        <v>1</v>
      </c>
      <c r="M9" s="12" t="n">
        <f aca="false">IF(B9=0,"",L9/B9)</f>
        <v>0.0625</v>
      </c>
    </row>
    <row r="10" customFormat="false" ht="18" hidden="false" customHeight="true" outlineLevel="0" collapsed="false">
      <c r="A10" s="7" t="s">
        <v>18</v>
      </c>
      <c r="B10" s="8" t="n">
        <v>13</v>
      </c>
      <c r="C10" s="8" t="n">
        <v>4</v>
      </c>
      <c r="D10" s="8" t="n">
        <f aca="false">COUNTIFS('V5 - File Handling'!$F$2:$F$18,"Compliant",'V5 - File Handling'!$E$2:$E$18,1)</f>
        <v>4</v>
      </c>
      <c r="E10" s="9" t="n">
        <f aca="false">IF(C10=0,"",D10/C10)</f>
        <v>1</v>
      </c>
      <c r="F10" s="8" t="n">
        <v>5</v>
      </c>
      <c r="G10" s="8" t="n">
        <f aca="false">COUNTIFS('V5 - File Handling'!$F$2:$F$18,"Compliant",'V5 - File Handling'!$E$2:$E$18,2)</f>
        <v>2</v>
      </c>
      <c r="H10" s="9" t="n">
        <f aca="false">IF(F10=0,"",G10/F10)</f>
        <v>0.4</v>
      </c>
      <c r="I10" s="8" t="n">
        <v>4</v>
      </c>
      <c r="J10" s="8" t="n">
        <f aca="false">COUNTIFS('V5 - File Handling'!$F$2:$F$18,"Compliant",'V5 - File Handling'!$E$2:$E$18,3)</f>
        <v>0</v>
      </c>
      <c r="K10" s="9" t="n">
        <f aca="false">IF(I10=0,"",J10/I10)</f>
        <v>0</v>
      </c>
      <c r="L10" s="8" t="n">
        <f aca="false">COUNTIF('V5 - File Handling'!$F$2:$F$18,"Compliant")</f>
        <v>6</v>
      </c>
      <c r="M10" s="9" t="n">
        <f aca="false">IF(B10=0,"",L10/B10)</f>
        <v>0.461538461538462</v>
      </c>
    </row>
    <row r="11" customFormat="false" ht="18" hidden="false" customHeight="true" outlineLevel="0" collapsed="false">
      <c r="A11" s="10" t="s">
        <v>19</v>
      </c>
      <c r="B11" s="11" t="n">
        <v>47</v>
      </c>
      <c r="C11" s="11" t="n">
        <v>13</v>
      </c>
      <c r="D11" s="11" t="n">
        <f aca="false">COUNTIFS('V6 - Authentication'!$F$2:$F$56,"Compliant",'V6 - Authentication'!$E$2:$E$56,1)</f>
        <v>5</v>
      </c>
      <c r="E11" s="12" t="n">
        <f aca="false">IF(C11=0,"",D11/C11)</f>
        <v>0.384615384615385</v>
      </c>
      <c r="F11" s="11" t="n">
        <v>22</v>
      </c>
      <c r="G11" s="11" t="n">
        <f aca="false">COUNTIFS('V6 - Authentication'!$F$2:$F$56,"Compliant",'V6 - Authentication'!$E$2:$E$56,2)</f>
        <v>7</v>
      </c>
      <c r="H11" s="12" t="n">
        <f aca="false">IF(F11=0,"",G11/F11)</f>
        <v>0.318181818181818</v>
      </c>
      <c r="I11" s="11" t="n">
        <v>12</v>
      </c>
      <c r="J11" s="11" t="n">
        <f aca="false">COUNTIFS('V6 - Authentication'!$F$2:$F$56,"Compliant",'V6 - Authentication'!$E$2:$E$56,3)</f>
        <v>1</v>
      </c>
      <c r="K11" s="12" t="n">
        <f aca="false">IF(I11=0,"",J11/I11)</f>
        <v>0.0833333333333333</v>
      </c>
      <c r="L11" s="11" t="n">
        <f aca="false">COUNTIF('V6 - Authentication'!$F$2:$F$56,"Compliant")</f>
        <v>13</v>
      </c>
      <c r="M11" s="12" t="n">
        <f aca="false">IF(B11=0,"",L11/B11)</f>
        <v>0.276595744680851</v>
      </c>
    </row>
    <row r="12" customFormat="false" ht="18" hidden="false" customHeight="true" outlineLevel="0" collapsed="false">
      <c r="A12" s="7" t="s">
        <v>20</v>
      </c>
      <c r="B12" s="8" t="n">
        <v>19</v>
      </c>
      <c r="C12" s="8" t="n">
        <v>6</v>
      </c>
      <c r="D12" s="8" t="n">
        <f aca="false">COUNTIFS('V7 - Session Management'!$F$2:$F$26,"Compliant",'V7 - Session Management'!$E$2:$E$26,1)</f>
        <v>3</v>
      </c>
      <c r="E12" s="9" t="n">
        <f aca="false">IF(C12=0,"",D12/C12)</f>
        <v>0.5</v>
      </c>
      <c r="F12" s="8" t="n">
        <v>12</v>
      </c>
      <c r="G12" s="8" t="n">
        <f aca="false">COUNTIFS('V7 - Session Management'!$F$2:$F$26,"Compliant",'V7 - Session Management'!$E$2:$E$26,2)</f>
        <v>5</v>
      </c>
      <c r="H12" s="9" t="n">
        <f aca="false">IF(F12=0,"",G12/F12)</f>
        <v>0.416666666666667</v>
      </c>
      <c r="I12" s="8" t="n">
        <v>1</v>
      </c>
      <c r="J12" s="8" t="n">
        <f aca="false">COUNTIFS('V7 - Session Management'!$F$2:$F$26,"Compliant",'V7 - Session Management'!$E$2:$E$26,3)</f>
        <v>0</v>
      </c>
      <c r="K12" s="9" t="n">
        <f aca="false">IF(I12=0,"",J12/I12)</f>
        <v>0</v>
      </c>
      <c r="L12" s="8" t="n">
        <f aca="false">COUNTIF('V7 - Session Management'!$F$2:$F$26,"Compliant")</f>
        <v>8</v>
      </c>
      <c r="M12" s="9" t="n">
        <f aca="false">IF(B12=0,"",L12/B12)</f>
        <v>0.421052631578947</v>
      </c>
    </row>
    <row r="13" customFormat="false" ht="18" hidden="false" customHeight="true" outlineLevel="0" collapsed="false">
      <c r="A13" s="10" t="s">
        <v>21</v>
      </c>
      <c r="B13" s="11" t="n">
        <v>13</v>
      </c>
      <c r="C13" s="11" t="n">
        <v>4</v>
      </c>
      <c r="D13" s="11" t="n">
        <f aca="false">COUNTIFS('V8 - Authorization'!$F$2:$F$18,"Compliant",'V8 - Authorization'!$E$2:$E$18,1)</f>
        <v>4</v>
      </c>
      <c r="E13" s="12" t="n">
        <f aca="false">IF(C13=0,"",D13/C13)</f>
        <v>1</v>
      </c>
      <c r="F13" s="11" t="n">
        <v>3</v>
      </c>
      <c r="G13" s="11" t="n">
        <f aca="false">COUNTIFS('V8 - Authorization'!$F$2:$F$18,"Compliant",'V8 - Authorization'!$E$2:$E$18,2)</f>
        <v>2</v>
      </c>
      <c r="H13" s="12" t="n">
        <f aca="false">IF(F13=0,"",G13/F13)</f>
        <v>0.666666666666667</v>
      </c>
      <c r="I13" s="11" t="n">
        <v>6</v>
      </c>
      <c r="J13" s="11" t="n">
        <f aca="false">COUNTIFS('V8 - Authorization'!$F$2:$F$18,"Compliant",'V8 - Authorization'!$E$2:$E$18,3)</f>
        <v>1</v>
      </c>
      <c r="K13" s="12" t="n">
        <f aca="false">IF(I13=0,"",J13/I13)</f>
        <v>0.166666666666667</v>
      </c>
      <c r="L13" s="11" t="n">
        <f aca="false">COUNTIF('V8 - Authorization'!$F$2:$F$18,"Compliant")</f>
        <v>7</v>
      </c>
      <c r="M13" s="12" t="n">
        <f aca="false">IF(B13=0,"",L13/B13)</f>
        <v>0.538461538461538</v>
      </c>
    </row>
    <row r="14" customFormat="false" ht="18" hidden="false" customHeight="true" outlineLevel="0" collapsed="false">
      <c r="A14" s="7" t="s">
        <v>22</v>
      </c>
      <c r="B14" s="8" t="n">
        <v>7</v>
      </c>
      <c r="C14" s="8" t="n">
        <v>4</v>
      </c>
      <c r="D14" s="8" t="n">
        <f aca="false">COUNTIFS('V9 - Self-contained Tokens'!$F$2:$F$10,"Compliant",'V9 - Self-contained Tokens'!$E$2:$E$10,1)</f>
        <v>4</v>
      </c>
      <c r="E14" s="9" t="n">
        <f aca="false">IF(C14=0,"",D14/C14)</f>
        <v>1</v>
      </c>
      <c r="F14" s="8" t="n">
        <v>3</v>
      </c>
      <c r="G14" s="8" t="n">
        <f aca="false">COUNTIFS('V9 - Self-contained Tokens'!$F$2:$F$10,"Compliant",'V9 - Self-contained Tokens'!$E$2:$E$10,2)</f>
        <v>1</v>
      </c>
      <c r="H14" s="9" t="n">
        <f aca="false">IF(F14=0,"",G14/F14)</f>
        <v>0.333333333333333</v>
      </c>
      <c r="I14" s="8" t="n">
        <v>0</v>
      </c>
      <c r="J14" s="8" t="s">
        <v>23</v>
      </c>
      <c r="K14" s="8" t="s">
        <v>23</v>
      </c>
      <c r="L14" s="8" t="n">
        <f aca="false">COUNTIF('V9 - Self-contained Tokens'!$F$2:$F$10,"Compliant")</f>
        <v>5</v>
      </c>
      <c r="M14" s="9" t="n">
        <f aca="false">IF(B14=0,"",L14/B14)</f>
        <v>0.714285714285714</v>
      </c>
    </row>
    <row r="15" customFormat="false" ht="18" hidden="false" customHeight="true" outlineLevel="0" collapsed="false">
      <c r="A15" s="10" t="s">
        <v>24</v>
      </c>
      <c r="B15" s="11" t="n">
        <v>36</v>
      </c>
      <c r="C15" s="11" t="n">
        <v>5</v>
      </c>
      <c r="D15" s="11" t="n">
        <f aca="false">COUNTIFS('V10 - OAuth and OIDC'!$F$2:$F$44,"Compliant",'V10 - OAuth and OIDC'!$E$2:$E$44,1)</f>
        <v>0</v>
      </c>
      <c r="E15" s="12" t="n">
        <f aca="false">IF(C15=0,"",D15/C15)</f>
        <v>0</v>
      </c>
      <c r="F15" s="11" t="n">
        <v>24</v>
      </c>
      <c r="G15" s="11" t="n">
        <f aca="false">COUNTIFS('V10 - OAuth and OIDC'!$F$2:$F$44,"Compliant",'V10 - OAuth and OIDC'!$E$2:$E$44,2)</f>
        <v>0</v>
      </c>
      <c r="H15" s="12" t="n">
        <f aca="false">IF(F15=0,"",G15/F15)</f>
        <v>0</v>
      </c>
      <c r="I15" s="11" t="n">
        <v>7</v>
      </c>
      <c r="J15" s="11" t="n">
        <f aca="false">COUNTIFS('V10 - OAuth and OIDC'!$F$2:$F$44,"Compliant",'V10 - OAuth and OIDC'!$E$2:$E$44,3)</f>
        <v>0</v>
      </c>
      <c r="K15" s="12" t="n">
        <f aca="false">IF(I15=0,"",J15/I15)</f>
        <v>0</v>
      </c>
      <c r="L15" s="11" t="n">
        <f aca="false">COUNTIF('V10 - OAuth and OIDC'!$F$2:$F$44,"Compliant")</f>
        <v>0</v>
      </c>
      <c r="M15" s="12" t="n">
        <f aca="false">IF(B15=0,"",L15/B15)</f>
        <v>0</v>
      </c>
    </row>
    <row r="16" customFormat="false" ht="18" hidden="false" customHeight="true" outlineLevel="0" collapsed="false">
      <c r="A16" s="7" t="s">
        <v>25</v>
      </c>
      <c r="B16" s="8" t="n">
        <v>24</v>
      </c>
      <c r="C16" s="8" t="n">
        <v>3</v>
      </c>
      <c r="D16" s="8" t="n">
        <f aca="false">COUNTIFS('V11 - Cryptography'!$F$2:$F$32,"Compliant",'V11 - Cryptography'!$E$2:$E$32,1)</f>
        <v>2</v>
      </c>
      <c r="E16" s="9" t="n">
        <f aca="false">IF(C16=0,"",D16/C16)</f>
        <v>0.666666666666667</v>
      </c>
      <c r="F16" s="8" t="n">
        <v>11</v>
      </c>
      <c r="G16" s="8" t="n">
        <f aca="false">COUNTIFS('V11 - Cryptography'!$F$2:$F$32,"Compliant",'V11 - Cryptography'!$E$2:$E$32,2)</f>
        <v>5</v>
      </c>
      <c r="H16" s="9" t="n">
        <f aca="false">IF(F16=0,"",G16/F16)</f>
        <v>0.454545454545455</v>
      </c>
      <c r="I16" s="8" t="n">
        <v>10</v>
      </c>
      <c r="J16" s="8" t="n">
        <f aca="false">COUNTIFS('V11 - Cryptography'!$F$2:$F$32,"Compliant",'V11 - Cryptography'!$E$2:$E$32,3)</f>
        <v>4</v>
      </c>
      <c r="K16" s="9" t="n">
        <f aca="false">IF(I16=0,"",J16/I16)</f>
        <v>0.4</v>
      </c>
      <c r="L16" s="8" t="n">
        <f aca="false">COUNTIF('V11 - Cryptography'!$F$2:$F$32,"Compliant")</f>
        <v>11</v>
      </c>
      <c r="M16" s="9" t="n">
        <f aca="false">IF(B16=0,"",L16/B16)</f>
        <v>0.458333333333333</v>
      </c>
    </row>
    <row r="17" customFormat="false" ht="18" hidden="false" customHeight="true" outlineLevel="0" collapsed="false">
      <c r="A17" s="10" t="s">
        <v>26</v>
      </c>
      <c r="B17" s="11" t="n">
        <v>12</v>
      </c>
      <c r="C17" s="11" t="n">
        <v>3</v>
      </c>
      <c r="D17" s="11" t="n">
        <f aca="false">COUNTIFS('V12 - Secure Communication'!$F$2:$F$16,"Compliant",'V12 - Secure Communication'!$E$2:$E$16,1)</f>
        <v>1</v>
      </c>
      <c r="E17" s="12" t="n">
        <f aca="false">IF(C17=0,"",D17/C17)</f>
        <v>0.333333333333333</v>
      </c>
      <c r="F17" s="11" t="n">
        <v>6</v>
      </c>
      <c r="G17" s="11" t="n">
        <f aca="false">COUNTIFS('V12 - Secure Communication'!$F$2:$F$16,"Compliant",'V12 - Secure Communication'!$E$2:$E$16,2)</f>
        <v>0</v>
      </c>
      <c r="H17" s="12" t="n">
        <f aca="false">IF(F17=0,"",G17/F17)</f>
        <v>0</v>
      </c>
      <c r="I17" s="11" t="n">
        <v>3</v>
      </c>
      <c r="J17" s="11" t="n">
        <f aca="false">COUNTIFS('V12 - Secure Communication'!$F$2:$F$16,"Compliant",'V12 - Secure Communication'!$E$2:$E$16,3)</f>
        <v>0</v>
      </c>
      <c r="K17" s="12" t="n">
        <f aca="false">IF(I17=0,"",J17/I17)</f>
        <v>0</v>
      </c>
      <c r="L17" s="11" t="n">
        <f aca="false">COUNTIF('V12 - Secure Communication'!$F$2:$F$16,"Compliant")</f>
        <v>1</v>
      </c>
      <c r="M17" s="12" t="n">
        <f aca="false">IF(B17=0,"",L17/B17)</f>
        <v>0.0833333333333333</v>
      </c>
    </row>
    <row r="18" customFormat="false" ht="18" hidden="false" customHeight="true" outlineLevel="0" collapsed="false">
      <c r="A18" s="7" t="s">
        <v>27</v>
      </c>
      <c r="B18" s="8" t="n">
        <v>21</v>
      </c>
      <c r="C18" s="8" t="n">
        <v>1</v>
      </c>
      <c r="D18" s="8" t="n">
        <f aca="false">COUNTIFS('V13 - Configuration'!$F$2:$F$26,"Compliant",'V13 - Configuration'!$E$2:$E$26,1)</f>
        <v>0</v>
      </c>
      <c r="E18" s="9" t="n">
        <f aca="false">IF(C18=0,"",D18/C18)</f>
        <v>0</v>
      </c>
      <c r="F18" s="8" t="n">
        <v>12</v>
      </c>
      <c r="G18" s="8" t="n">
        <f aca="false">COUNTIFS('V13 - Configuration'!$F$2:$F$26,"Compliant",'V13 - Configuration'!$E$2:$E$26,2)</f>
        <v>1</v>
      </c>
      <c r="H18" s="9" t="n">
        <f aca="false">IF(F18=0,"",G18/F18)</f>
        <v>0.0833333333333333</v>
      </c>
      <c r="I18" s="8" t="n">
        <v>8</v>
      </c>
      <c r="J18" s="8" t="n">
        <f aca="false">COUNTIFS('V13 - Configuration'!$F$2:$F$26,"Compliant",'V13 - Configuration'!$E$2:$E$26,3)</f>
        <v>0</v>
      </c>
      <c r="K18" s="9" t="n">
        <f aca="false">IF(I18=0,"",J18/I18)</f>
        <v>0</v>
      </c>
      <c r="L18" s="8" t="n">
        <f aca="false">COUNTIF('V13 - Configuration'!$F$2:$F$26,"Compliant")</f>
        <v>1</v>
      </c>
      <c r="M18" s="9" t="n">
        <f aca="false">IF(B18=0,"",L18/B18)</f>
        <v>0.0476190476190476</v>
      </c>
    </row>
    <row r="19" customFormat="false" ht="18" hidden="false" customHeight="true" outlineLevel="0" collapsed="false">
      <c r="A19" s="10" t="s">
        <v>28</v>
      </c>
      <c r="B19" s="11" t="n">
        <v>13</v>
      </c>
      <c r="C19" s="11" t="n">
        <v>2</v>
      </c>
      <c r="D19" s="11" t="n">
        <f aca="false">COUNTIFS('V14 - Data Protection'!$F$2:$F$17,"Compliant",'V14 - Data Protection'!$E$2:$E$17,1)</f>
        <v>1</v>
      </c>
      <c r="E19" s="12" t="n">
        <f aca="false">IF(C19=0,"",D19/C19)</f>
        <v>0.5</v>
      </c>
      <c r="F19" s="11" t="n">
        <v>7</v>
      </c>
      <c r="G19" s="11" t="n">
        <f aca="false">COUNTIFS('V14 - Data Protection'!$F$2:$F$17,"Compliant",'V14 - Data Protection'!$E$2:$E$17,2)</f>
        <v>2</v>
      </c>
      <c r="H19" s="12" t="n">
        <f aca="false">IF(F19=0,"",G19/F19)</f>
        <v>0.285714285714286</v>
      </c>
      <c r="I19" s="11" t="n">
        <v>4</v>
      </c>
      <c r="J19" s="11" t="n">
        <f aca="false">COUNTIFS('V14 - Data Protection'!$F$2:$F$17,"Compliant",'V14 - Data Protection'!$E$2:$E$17,3)</f>
        <v>1</v>
      </c>
      <c r="K19" s="12" t="n">
        <f aca="false">IF(I19=0,"",J19/I19)</f>
        <v>0.25</v>
      </c>
      <c r="L19" s="11" t="n">
        <f aca="false">COUNTIF('V14 - Data Protection'!$F$2:$F$17,"Compliant")</f>
        <v>4</v>
      </c>
      <c r="M19" s="12" t="n">
        <f aca="false">IF(B19=0,"",L19/B19)</f>
        <v>0.307692307692308</v>
      </c>
    </row>
    <row r="20" customFormat="false" ht="18" hidden="false" customHeight="true" outlineLevel="0" collapsed="false">
      <c r="A20" s="7" t="s">
        <v>29</v>
      </c>
      <c r="B20" s="8" t="n">
        <v>21</v>
      </c>
      <c r="C20" s="8" t="n">
        <v>3</v>
      </c>
      <c r="D20" s="8" t="n">
        <f aca="false">COUNTIFS('V15 - Secure Coding and Archite'!$F$2:$F$26,"Compliant",'V15 - Secure Coding and Archite'!$E$2:$E$26,1)</f>
        <v>0</v>
      </c>
      <c r="E20" s="9" t="n">
        <f aca="false">IF(C20=0,"",D20/C20)</f>
        <v>0</v>
      </c>
      <c r="F20" s="8" t="n">
        <v>10</v>
      </c>
      <c r="G20" s="8" t="n">
        <f aca="false">COUNTIFS('V15 - Secure Coding and Archite'!$F$2:$F$26,"Compliant",'V15 - Secure Coding and Archite'!$E$2:$E$26,2)</f>
        <v>3</v>
      </c>
      <c r="H20" s="9" t="n">
        <f aca="false">IF(F20=0,"",G20/F20)</f>
        <v>0.3</v>
      </c>
      <c r="I20" s="8" t="n">
        <v>8</v>
      </c>
      <c r="J20" s="8" t="n">
        <f aca="false">COUNTIFS('V15 - Secure Coding and Archite'!$F$2:$F$26,"Compliant",'V15 - Secure Coding and Archite'!$E$2:$E$26,3)</f>
        <v>2</v>
      </c>
      <c r="K20" s="9" t="n">
        <f aca="false">IF(I20=0,"",J20/I20)</f>
        <v>0.25</v>
      </c>
      <c r="L20" s="8" t="n">
        <f aca="false">COUNTIF('V15 - Secure Coding and Archite'!$F$2:$F$26,"Compliant")</f>
        <v>5</v>
      </c>
      <c r="M20" s="9" t="n">
        <f aca="false">IF(B20=0,"",L20/B20)</f>
        <v>0.238095238095238</v>
      </c>
    </row>
    <row r="21" customFormat="false" ht="18" hidden="false" customHeight="true" outlineLevel="0" collapsed="false">
      <c r="A21" s="10" t="s">
        <v>30</v>
      </c>
      <c r="B21" s="11" t="n">
        <v>17</v>
      </c>
      <c r="C21" s="11" t="n">
        <v>0</v>
      </c>
      <c r="D21" s="11" t="s">
        <v>23</v>
      </c>
      <c r="E21" s="11" t="s">
        <v>23</v>
      </c>
      <c r="F21" s="11" t="n">
        <v>16</v>
      </c>
      <c r="G21" s="11" t="n">
        <f aca="false">COUNTIFS('V16 - Security Logging and Erro'!$F$2:$F$23,"Compliant",'V16 - Security Logging and Erro'!$E$2:$E$23,2)</f>
        <v>3</v>
      </c>
      <c r="H21" s="12" t="n">
        <f aca="false">IF(F21=0,"",G21/F21)</f>
        <v>0.1875</v>
      </c>
      <c r="I21" s="11" t="n">
        <v>1</v>
      </c>
      <c r="J21" s="11" t="n">
        <f aca="false">COUNTIFS('V16 - Security Logging and Erro'!$F$2:$F$23,"Compliant",'V16 - Security Logging and Erro'!$E$2:$E$23,3)</f>
        <v>0</v>
      </c>
      <c r="K21" s="12" t="n">
        <f aca="false">IF(I21=0,"",J21/I21)</f>
        <v>0</v>
      </c>
      <c r="L21" s="11" t="n">
        <f aca="false">COUNTIF('V16 - Security Logging and Erro'!$F$2:$F$23,"Compliant")</f>
        <v>3</v>
      </c>
      <c r="M21" s="12" t="n">
        <f aca="false">IF(B21=0,"",L21/B21)</f>
        <v>0.176470588235294</v>
      </c>
    </row>
    <row r="22" customFormat="false" ht="18" hidden="false" customHeight="true" outlineLevel="0" collapsed="false">
      <c r="A22" s="7" t="s">
        <v>31</v>
      </c>
      <c r="B22" s="8" t="n">
        <v>12</v>
      </c>
      <c r="C22" s="8" t="n">
        <v>0</v>
      </c>
      <c r="D22" s="8" t="s">
        <v>23</v>
      </c>
      <c r="E22" s="8" t="s">
        <v>23</v>
      </c>
      <c r="F22" s="8" t="n">
        <v>7</v>
      </c>
      <c r="G22" s="8" t="n">
        <f aca="false">COUNTIFS('V17 - WebRTC'!$F$2:$F$16,"Compliant",'V17 - WebRTC'!$E$2:$E$16,2)</f>
        <v>0</v>
      </c>
      <c r="H22" s="9" t="n">
        <f aca="false">IF(F22=0,"",G22/F22)</f>
        <v>0</v>
      </c>
      <c r="I22" s="8" t="n">
        <v>5</v>
      </c>
      <c r="J22" s="8" t="n">
        <f aca="false">COUNTIFS('V17 - WebRTC'!$F$2:$F$16,"Compliant",'V17 - WebRTC'!$E$2:$E$16,3)</f>
        <v>0</v>
      </c>
      <c r="K22" s="9" t="n">
        <f aca="false">IF(I22=0,"",J22/I22)</f>
        <v>0</v>
      </c>
      <c r="L22" s="8" t="n">
        <f aca="false">COUNTIF('V17 - WebRTC'!$F$2:$F$16,"Compliant")</f>
        <v>0</v>
      </c>
      <c r="M22" s="9" t="n">
        <f aca="false">IF(B22=0,"",L22/B22)</f>
        <v>0</v>
      </c>
    </row>
    <row r="23" customFormat="false" ht="21.75" hidden="false" customHeight="true" outlineLevel="0" collapsed="false">
      <c r="A23" s="13" t="s">
        <v>32</v>
      </c>
      <c r="B23" s="14" t="n">
        <f aca="false">SUM(B6:B22)</f>
        <v>345</v>
      </c>
      <c r="C23" s="14" t="n">
        <f aca="false">SUM(C6:C22)</f>
        <v>70</v>
      </c>
      <c r="D23" s="14" t="n">
        <f aca="false">SUM(D6:D22)</f>
        <v>35</v>
      </c>
      <c r="E23" s="15" t="n">
        <f aca="false">IFERROR(AVERAGE(E6:E22),"")</f>
        <v>0.508974358974359</v>
      </c>
      <c r="F23" s="14" t="n">
        <f aca="false">SUM(F6:F22)</f>
        <v>183</v>
      </c>
      <c r="G23" s="14" t="n">
        <f aca="false">SUM(G6:G22)</f>
        <v>42</v>
      </c>
      <c r="H23" s="15" t="n">
        <f aca="false">IFERROR(AVERAGE(H6:H22),"")</f>
        <v>0.263295102730087</v>
      </c>
      <c r="I23" s="14" t="n">
        <f aca="false">SUM(I6:I22)</f>
        <v>92</v>
      </c>
      <c r="J23" s="14" t="n">
        <f aca="false">SUM(J6:J22)</f>
        <v>11</v>
      </c>
      <c r="K23" s="15" t="n">
        <f aca="false">IFERROR(AVERAGE(K6:K22),"")</f>
        <v>0.113541666666667</v>
      </c>
      <c r="L23" s="14" t="n">
        <f aca="false">SUM(L6:L22)</f>
        <v>88</v>
      </c>
      <c r="M23" s="15" t="n">
        <f aca="false">IFERROR(AVERAGE(M6:M22),"")</f>
        <v>0.29081629582419</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9" activePane="bottomLeft" state="frozen"/>
      <selection pane="topLeft" activeCell="A1" activeCellId="0" sqref="A1"/>
      <selection pane="bottomLeft" activeCell="G41" activeCellId="0" sqref="G41"/>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51"/>
    <col collapsed="false" customWidth="true" hidden="false" outlineLevel="0" max="8" min="8" style="1" width="40.17"/>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41</v>
      </c>
      <c r="B2" s="17" t="s">
        <v>42</v>
      </c>
      <c r="C2" s="17"/>
      <c r="D2" s="17"/>
      <c r="E2" s="17"/>
      <c r="F2" s="17"/>
      <c r="G2" s="17"/>
      <c r="H2" s="17"/>
    </row>
    <row r="3" customFormat="false" ht="43.5" hidden="false" customHeight="true" outlineLevel="0" collapsed="false">
      <c r="A3" s="18" t="s">
        <v>41</v>
      </c>
      <c r="B3" s="18" t="s">
        <v>42</v>
      </c>
      <c r="C3" s="19" t="s">
        <v>43</v>
      </c>
      <c r="D3" s="20" t="s">
        <v>44</v>
      </c>
      <c r="E3" s="21" t="n">
        <v>2</v>
      </c>
      <c r="F3" s="22" t="s">
        <v>45</v>
      </c>
      <c r="G3" s="23" t="s">
        <v>46</v>
      </c>
      <c r="H3" s="24" t="s">
        <v>47</v>
      </c>
    </row>
    <row r="4" customFormat="false" ht="30" hidden="false" customHeight="true" outlineLevel="0" collapsed="false">
      <c r="A4" s="25" t="s">
        <v>41</v>
      </c>
      <c r="B4" s="25" t="s">
        <v>42</v>
      </c>
      <c r="C4" s="26" t="s">
        <v>48</v>
      </c>
      <c r="D4" s="27" t="s">
        <v>49</v>
      </c>
      <c r="E4" s="21" t="n">
        <v>2</v>
      </c>
      <c r="F4" s="22" t="s">
        <v>45</v>
      </c>
      <c r="G4" s="28" t="s">
        <v>50</v>
      </c>
      <c r="H4" s="28" t="s">
        <v>51</v>
      </c>
    </row>
    <row r="5" customFormat="false" ht="18" hidden="false" customHeight="true" outlineLevel="0" collapsed="false">
      <c r="A5" s="17" t="s">
        <v>52</v>
      </c>
      <c r="B5" s="17" t="s">
        <v>53</v>
      </c>
      <c r="C5" s="17"/>
      <c r="D5" s="17"/>
      <c r="E5" s="17"/>
      <c r="F5" s="17"/>
      <c r="G5" s="29"/>
      <c r="H5" s="29"/>
    </row>
    <row r="6" customFormat="false" ht="30" hidden="false" customHeight="true" outlineLevel="0" collapsed="false">
      <c r="A6" s="18" t="s">
        <v>52</v>
      </c>
      <c r="B6" s="18" t="s">
        <v>53</v>
      </c>
      <c r="C6" s="19" t="s">
        <v>54</v>
      </c>
      <c r="D6" s="20" t="s">
        <v>55</v>
      </c>
      <c r="E6" s="30" t="n">
        <v>1</v>
      </c>
      <c r="F6" s="22" t="s">
        <v>45</v>
      </c>
      <c r="G6" s="23" t="s">
        <v>56</v>
      </c>
      <c r="H6" s="23" t="s">
        <v>57</v>
      </c>
    </row>
    <row r="7" customFormat="false" ht="30" hidden="false" customHeight="true" outlineLevel="0" collapsed="false">
      <c r="A7" s="25" t="s">
        <v>52</v>
      </c>
      <c r="B7" s="25" t="s">
        <v>53</v>
      </c>
      <c r="C7" s="26" t="s">
        <v>58</v>
      </c>
      <c r="D7" s="27" t="s">
        <v>59</v>
      </c>
      <c r="E7" s="30" t="n">
        <v>1</v>
      </c>
      <c r="F7" s="22" t="s">
        <v>60</v>
      </c>
      <c r="G7" s="28" t="s">
        <v>61</v>
      </c>
      <c r="H7" s="28" t="s">
        <v>23</v>
      </c>
    </row>
    <row r="8" customFormat="false" ht="30" hidden="false" customHeight="true" outlineLevel="0" collapsed="false">
      <c r="A8" s="18" t="s">
        <v>52</v>
      </c>
      <c r="B8" s="18" t="s">
        <v>53</v>
      </c>
      <c r="C8" s="19" t="s">
        <v>62</v>
      </c>
      <c r="D8" s="20" t="s">
        <v>63</v>
      </c>
      <c r="E8" s="30" t="n">
        <v>1</v>
      </c>
      <c r="F8" s="22" t="s">
        <v>60</v>
      </c>
      <c r="G8" s="23" t="s">
        <v>64</v>
      </c>
      <c r="H8" s="28" t="s">
        <v>23</v>
      </c>
    </row>
    <row r="9" customFormat="false" ht="30" hidden="false" customHeight="true" outlineLevel="0" collapsed="false">
      <c r="A9" s="25" t="s">
        <v>52</v>
      </c>
      <c r="B9" s="25" t="s">
        <v>53</v>
      </c>
      <c r="C9" s="26" t="s">
        <v>65</v>
      </c>
      <c r="D9" s="27" t="s">
        <v>66</v>
      </c>
      <c r="E9" s="30" t="n">
        <v>1</v>
      </c>
      <c r="F9" s="22" t="s">
        <v>45</v>
      </c>
      <c r="G9" s="23" t="s">
        <v>67</v>
      </c>
      <c r="H9" s="23" t="s">
        <v>68</v>
      </c>
    </row>
    <row r="10" customFormat="false" ht="30" hidden="false" customHeight="true" outlineLevel="0" collapsed="false">
      <c r="A10" s="18" t="s">
        <v>52</v>
      </c>
      <c r="B10" s="18" t="s">
        <v>53</v>
      </c>
      <c r="C10" s="19" t="s">
        <v>69</v>
      </c>
      <c r="D10" s="20" t="s">
        <v>70</v>
      </c>
      <c r="E10" s="30" t="n">
        <v>1</v>
      </c>
      <c r="F10" s="22" t="s">
        <v>45</v>
      </c>
      <c r="G10" s="23" t="s">
        <v>71</v>
      </c>
      <c r="H10" s="23" t="s">
        <v>72</v>
      </c>
    </row>
    <row r="11" customFormat="false" ht="30" hidden="false" customHeight="true" outlineLevel="0" collapsed="false">
      <c r="A11" s="25" t="s">
        <v>52</v>
      </c>
      <c r="B11" s="25" t="s">
        <v>53</v>
      </c>
      <c r="C11" s="26" t="s">
        <v>73</v>
      </c>
      <c r="D11" s="27" t="s">
        <v>74</v>
      </c>
      <c r="E11" s="21" t="n">
        <v>2</v>
      </c>
      <c r="F11" s="22" t="s">
        <v>60</v>
      </c>
      <c r="G11" s="23" t="s">
        <v>75</v>
      </c>
      <c r="H11" s="28" t="s">
        <v>23</v>
      </c>
    </row>
    <row r="12" customFormat="false" ht="30" hidden="false" customHeight="true" outlineLevel="0" collapsed="false">
      <c r="A12" s="18" t="s">
        <v>52</v>
      </c>
      <c r="B12" s="18" t="s">
        <v>53</v>
      </c>
      <c r="C12" s="19" t="s">
        <v>76</v>
      </c>
      <c r="D12" s="20" t="s">
        <v>77</v>
      </c>
      <c r="E12" s="21" t="n">
        <v>2</v>
      </c>
      <c r="F12" s="22" t="s">
        <v>60</v>
      </c>
      <c r="G12" s="23" t="s">
        <v>78</v>
      </c>
      <c r="H12" s="28" t="s">
        <v>23</v>
      </c>
    </row>
    <row r="13" customFormat="false" ht="30" hidden="false" customHeight="true" outlineLevel="0" collapsed="false">
      <c r="A13" s="25" t="s">
        <v>52</v>
      </c>
      <c r="B13" s="25" t="s">
        <v>53</v>
      </c>
      <c r="C13" s="26" t="s">
        <v>79</v>
      </c>
      <c r="D13" s="27" t="s">
        <v>80</v>
      </c>
      <c r="E13" s="21" t="n">
        <v>2</v>
      </c>
      <c r="F13" s="22" t="s">
        <v>60</v>
      </c>
      <c r="G13" s="23" t="s">
        <v>81</v>
      </c>
      <c r="H13" s="28" t="s">
        <v>23</v>
      </c>
    </row>
    <row r="14" customFormat="false" ht="30" hidden="false" customHeight="true" outlineLevel="0" collapsed="false">
      <c r="A14" s="18" t="s">
        <v>52</v>
      </c>
      <c r="B14" s="18" t="s">
        <v>53</v>
      </c>
      <c r="C14" s="19" t="s">
        <v>82</v>
      </c>
      <c r="D14" s="20" t="s">
        <v>83</v>
      </c>
      <c r="E14" s="21" t="n">
        <v>2</v>
      </c>
      <c r="F14" s="22" t="s">
        <v>45</v>
      </c>
      <c r="G14" s="23" t="s">
        <v>84</v>
      </c>
      <c r="H14" s="23" t="s">
        <v>85</v>
      </c>
    </row>
    <row r="15" customFormat="false" ht="30" hidden="false" customHeight="true" outlineLevel="0" collapsed="false">
      <c r="A15" s="25" t="s">
        <v>52</v>
      </c>
      <c r="B15" s="25" t="s">
        <v>53</v>
      </c>
      <c r="C15" s="26" t="s">
        <v>86</v>
      </c>
      <c r="D15" s="27" t="s">
        <v>87</v>
      </c>
      <c r="E15" s="31" t="n">
        <v>3</v>
      </c>
      <c r="F15" s="22" t="s">
        <v>60</v>
      </c>
      <c r="G15" s="23" t="s">
        <v>88</v>
      </c>
      <c r="H15" s="28" t="s">
        <v>23</v>
      </c>
    </row>
    <row r="16" customFormat="false" ht="18" hidden="false" customHeight="true" outlineLevel="0" collapsed="false">
      <c r="A16" s="17" t="s">
        <v>89</v>
      </c>
      <c r="B16" s="17" t="s">
        <v>90</v>
      </c>
      <c r="C16" s="17"/>
      <c r="D16" s="17"/>
      <c r="E16" s="17"/>
      <c r="F16" s="17"/>
      <c r="G16" s="23"/>
      <c r="H16" s="23"/>
    </row>
    <row r="17" customFormat="false" ht="30" hidden="false" customHeight="true" outlineLevel="0" collapsed="false">
      <c r="A17" s="18" t="s">
        <v>89</v>
      </c>
      <c r="B17" s="18" t="s">
        <v>90</v>
      </c>
      <c r="C17" s="19" t="s">
        <v>91</v>
      </c>
      <c r="D17" s="20" t="s">
        <v>92</v>
      </c>
      <c r="E17" s="30" t="n">
        <v>1</v>
      </c>
      <c r="F17" s="22" t="s">
        <v>60</v>
      </c>
      <c r="G17" s="23" t="s">
        <v>93</v>
      </c>
      <c r="H17" s="28" t="s">
        <v>23</v>
      </c>
    </row>
    <row r="18" customFormat="false" ht="30" hidden="false" customHeight="true" outlineLevel="0" collapsed="false">
      <c r="A18" s="25" t="s">
        <v>89</v>
      </c>
      <c r="B18" s="25" t="s">
        <v>90</v>
      </c>
      <c r="C18" s="26" t="s">
        <v>94</v>
      </c>
      <c r="D18" s="27" t="s">
        <v>95</v>
      </c>
      <c r="E18" s="30" t="n">
        <v>1</v>
      </c>
      <c r="F18" s="22" t="s">
        <v>45</v>
      </c>
      <c r="G18" s="23" t="s">
        <v>96</v>
      </c>
      <c r="H18" s="23" t="s">
        <v>97</v>
      </c>
    </row>
    <row r="19" customFormat="false" ht="30" hidden="false" customHeight="true" outlineLevel="0" collapsed="false">
      <c r="A19" s="18" t="s">
        <v>89</v>
      </c>
      <c r="B19" s="18" t="s">
        <v>90</v>
      </c>
      <c r="C19" s="19" t="s">
        <v>98</v>
      </c>
      <c r="D19" s="20" t="s">
        <v>99</v>
      </c>
      <c r="E19" s="21" t="n">
        <v>2</v>
      </c>
      <c r="F19" s="22" t="s">
        <v>45</v>
      </c>
      <c r="G19" s="23" t="s">
        <v>100</v>
      </c>
      <c r="H19" s="23" t="s">
        <v>101</v>
      </c>
    </row>
    <row r="20" customFormat="false" ht="30" hidden="false" customHeight="true" outlineLevel="0" collapsed="false">
      <c r="A20" s="25" t="s">
        <v>89</v>
      </c>
      <c r="B20" s="25" t="s">
        <v>90</v>
      </c>
      <c r="C20" s="26" t="s">
        <v>102</v>
      </c>
      <c r="D20" s="27" t="s">
        <v>103</v>
      </c>
      <c r="E20" s="21" t="n">
        <v>2</v>
      </c>
      <c r="F20" s="22" t="s">
        <v>60</v>
      </c>
      <c r="G20" s="23" t="s">
        <v>104</v>
      </c>
      <c r="H20" s="28" t="s">
        <v>23</v>
      </c>
    </row>
    <row r="21" customFormat="false" ht="30" hidden="false" customHeight="true" outlineLevel="0" collapsed="false">
      <c r="A21" s="18" t="s">
        <v>89</v>
      </c>
      <c r="B21" s="18" t="s">
        <v>90</v>
      </c>
      <c r="C21" s="19" t="s">
        <v>105</v>
      </c>
      <c r="D21" s="20" t="s">
        <v>106</v>
      </c>
      <c r="E21" s="21" t="n">
        <v>2</v>
      </c>
      <c r="F21" s="22" t="s">
        <v>60</v>
      </c>
      <c r="G21" s="23" t="s">
        <v>107</v>
      </c>
      <c r="H21" s="28" t="s">
        <v>23</v>
      </c>
    </row>
    <row r="22" customFormat="false" ht="30" hidden="false" customHeight="true" outlineLevel="0" collapsed="false">
      <c r="A22" s="25" t="s">
        <v>89</v>
      </c>
      <c r="B22" s="25" t="s">
        <v>90</v>
      </c>
      <c r="C22" s="26" t="s">
        <v>108</v>
      </c>
      <c r="D22" s="27" t="s">
        <v>109</v>
      </c>
      <c r="E22" s="21" t="n">
        <v>2</v>
      </c>
      <c r="F22" s="22" t="s">
        <v>60</v>
      </c>
      <c r="G22" s="23" t="s">
        <v>110</v>
      </c>
      <c r="H22" s="28" t="s">
        <v>23</v>
      </c>
    </row>
    <row r="23" customFormat="false" ht="30" hidden="false" customHeight="true" outlineLevel="0" collapsed="false">
      <c r="A23" s="18" t="s">
        <v>89</v>
      </c>
      <c r="B23" s="18" t="s">
        <v>90</v>
      </c>
      <c r="C23" s="19" t="s">
        <v>111</v>
      </c>
      <c r="D23" s="20" t="s">
        <v>112</v>
      </c>
      <c r="E23" s="21" t="n">
        <v>2</v>
      </c>
      <c r="F23" s="22" t="s">
        <v>60</v>
      </c>
      <c r="G23" s="23" t="s">
        <v>113</v>
      </c>
      <c r="H23" s="28" t="s">
        <v>23</v>
      </c>
    </row>
    <row r="24" customFormat="false" ht="30" hidden="false" customHeight="true" outlineLevel="0" collapsed="false">
      <c r="A24" s="25" t="s">
        <v>89</v>
      </c>
      <c r="B24" s="25" t="s">
        <v>90</v>
      </c>
      <c r="C24" s="26" t="s">
        <v>114</v>
      </c>
      <c r="D24" s="27" t="s">
        <v>115</v>
      </c>
      <c r="E24" s="21" t="n">
        <v>2</v>
      </c>
      <c r="F24" s="22" t="s">
        <v>60</v>
      </c>
      <c r="G24" s="23" t="s">
        <v>116</v>
      </c>
      <c r="H24" s="28" t="s">
        <v>23</v>
      </c>
    </row>
    <row r="25" customFormat="false" ht="30" hidden="false" customHeight="true" outlineLevel="0" collapsed="false">
      <c r="A25" s="18" t="s">
        <v>89</v>
      </c>
      <c r="B25" s="18" t="s">
        <v>90</v>
      </c>
      <c r="C25" s="19" t="s">
        <v>117</v>
      </c>
      <c r="D25" s="20" t="s">
        <v>118</v>
      </c>
      <c r="E25" s="21" t="n">
        <v>2</v>
      </c>
      <c r="F25" s="22" t="s">
        <v>60</v>
      </c>
      <c r="G25" s="23" t="s">
        <v>119</v>
      </c>
      <c r="H25" s="28" t="s">
        <v>23</v>
      </c>
    </row>
    <row r="26" customFormat="false" ht="39.75" hidden="false" customHeight="true" outlineLevel="0" collapsed="false">
      <c r="A26" s="25" t="s">
        <v>89</v>
      </c>
      <c r="B26" s="25" t="s">
        <v>90</v>
      </c>
      <c r="C26" s="26" t="s">
        <v>120</v>
      </c>
      <c r="D26" s="27" t="s">
        <v>121</v>
      </c>
      <c r="E26" s="21" t="n">
        <v>2</v>
      </c>
      <c r="F26" s="22" t="s">
        <v>45</v>
      </c>
      <c r="G26" s="23" t="s">
        <v>122</v>
      </c>
      <c r="H26" s="23" t="s">
        <v>123</v>
      </c>
    </row>
    <row r="27" customFormat="false" ht="30" hidden="false" customHeight="true" outlineLevel="0" collapsed="false">
      <c r="A27" s="18" t="s">
        <v>89</v>
      </c>
      <c r="B27" s="18" t="s">
        <v>90</v>
      </c>
      <c r="C27" s="19" t="s">
        <v>124</v>
      </c>
      <c r="D27" s="20" t="s">
        <v>125</v>
      </c>
      <c r="E27" s="21" t="n">
        <v>2</v>
      </c>
      <c r="F27" s="22" t="s">
        <v>60</v>
      </c>
      <c r="G27" s="23" t="s">
        <v>126</v>
      </c>
      <c r="H27" s="28" t="s">
        <v>23</v>
      </c>
    </row>
    <row r="28" customFormat="false" ht="30" hidden="false" customHeight="true" outlineLevel="0" collapsed="false">
      <c r="A28" s="25" t="s">
        <v>89</v>
      </c>
      <c r="B28" s="25" t="s">
        <v>90</v>
      </c>
      <c r="C28" s="26" t="s">
        <v>127</v>
      </c>
      <c r="D28" s="27" t="s">
        <v>128</v>
      </c>
      <c r="E28" s="31" t="n">
        <v>3</v>
      </c>
      <c r="F28" s="22" t="s">
        <v>45</v>
      </c>
      <c r="G28" s="23" t="s">
        <v>129</v>
      </c>
      <c r="H28" s="23" t="s">
        <v>85</v>
      </c>
    </row>
    <row r="29" customFormat="false" ht="18" hidden="false" customHeight="true" outlineLevel="0" collapsed="false">
      <c r="A29" s="17" t="s">
        <v>130</v>
      </c>
      <c r="B29" s="17" t="s">
        <v>131</v>
      </c>
      <c r="C29" s="17"/>
      <c r="D29" s="17"/>
      <c r="E29" s="17"/>
      <c r="F29" s="17"/>
      <c r="G29" s="23"/>
      <c r="H29" s="23"/>
    </row>
    <row r="30" customFormat="false" ht="30" hidden="false" customHeight="true" outlineLevel="0" collapsed="false">
      <c r="A30" s="18" t="s">
        <v>130</v>
      </c>
      <c r="B30" s="18" t="s">
        <v>131</v>
      </c>
      <c r="C30" s="19" t="s">
        <v>132</v>
      </c>
      <c r="D30" s="20" t="s">
        <v>133</v>
      </c>
      <c r="E30" s="21" t="n">
        <v>2</v>
      </c>
      <c r="F30" s="22" t="s">
        <v>60</v>
      </c>
      <c r="G30" s="23" t="s">
        <v>134</v>
      </c>
      <c r="H30" s="28" t="s">
        <v>23</v>
      </c>
    </row>
    <row r="31" customFormat="false" ht="30" hidden="false" customHeight="true" outlineLevel="0" collapsed="false">
      <c r="A31" s="25" t="s">
        <v>130</v>
      </c>
      <c r="B31" s="25" t="s">
        <v>131</v>
      </c>
      <c r="C31" s="26" t="s">
        <v>135</v>
      </c>
      <c r="D31" s="27" t="s">
        <v>136</v>
      </c>
      <c r="E31" s="21" t="n">
        <v>2</v>
      </c>
      <c r="F31" s="22" t="s">
        <v>60</v>
      </c>
      <c r="G31" s="23" t="s">
        <v>137</v>
      </c>
      <c r="H31" s="28" t="s">
        <v>23</v>
      </c>
    </row>
    <row r="32" customFormat="false" ht="30" hidden="false" customHeight="true" outlineLevel="0" collapsed="false">
      <c r="A32" s="18" t="s">
        <v>130</v>
      </c>
      <c r="B32" s="18" t="s">
        <v>131</v>
      </c>
      <c r="C32" s="19" t="s">
        <v>138</v>
      </c>
      <c r="D32" s="20" t="s">
        <v>139</v>
      </c>
      <c r="E32" s="21" t="n">
        <v>2</v>
      </c>
      <c r="F32" s="22" t="s">
        <v>60</v>
      </c>
      <c r="G32" s="23" t="s">
        <v>140</v>
      </c>
      <c r="H32" s="28" t="s">
        <v>23</v>
      </c>
    </row>
    <row r="33" customFormat="false" ht="18" hidden="false" customHeight="true" outlineLevel="0" collapsed="false">
      <c r="A33" s="17" t="s">
        <v>141</v>
      </c>
      <c r="B33" s="17" t="s">
        <v>142</v>
      </c>
      <c r="C33" s="17"/>
      <c r="D33" s="17"/>
      <c r="E33" s="17"/>
      <c r="F33" s="17"/>
      <c r="G33" s="23"/>
      <c r="H33" s="23"/>
    </row>
    <row r="34" customFormat="false" ht="30" hidden="false" customHeight="true" outlineLevel="0" collapsed="false">
      <c r="A34" s="18" t="s">
        <v>141</v>
      </c>
      <c r="B34" s="18" t="s">
        <v>142</v>
      </c>
      <c r="C34" s="19" t="s">
        <v>143</v>
      </c>
      <c r="D34" s="20" t="s">
        <v>144</v>
      </c>
      <c r="E34" s="30" t="n">
        <v>1</v>
      </c>
      <c r="F34" s="22" t="s">
        <v>45</v>
      </c>
      <c r="G34" s="23" t="s">
        <v>145</v>
      </c>
      <c r="H34" s="23" t="s">
        <v>146</v>
      </c>
    </row>
    <row r="35" customFormat="false" ht="30" hidden="false" customHeight="true" outlineLevel="0" collapsed="false">
      <c r="A35" s="25" t="s">
        <v>141</v>
      </c>
      <c r="B35" s="25" t="s">
        <v>142</v>
      </c>
      <c r="C35" s="26" t="s">
        <v>147</v>
      </c>
      <c r="D35" s="27" t="s">
        <v>148</v>
      </c>
      <c r="E35" s="21" t="n">
        <v>2</v>
      </c>
      <c r="F35" s="22" t="s">
        <v>45</v>
      </c>
      <c r="G35" s="23" t="s">
        <v>149</v>
      </c>
      <c r="H35" s="23" t="s">
        <v>150</v>
      </c>
    </row>
    <row r="36" customFormat="false" ht="30" hidden="false" customHeight="true" outlineLevel="0" collapsed="false">
      <c r="A36" s="18" t="s">
        <v>141</v>
      </c>
      <c r="B36" s="18" t="s">
        <v>142</v>
      </c>
      <c r="C36" s="19" t="s">
        <v>151</v>
      </c>
      <c r="D36" s="20" t="s">
        <v>152</v>
      </c>
      <c r="E36" s="31" t="n">
        <v>3</v>
      </c>
      <c r="F36" s="22" t="s">
        <v>45</v>
      </c>
      <c r="G36" s="23" t="s">
        <v>153</v>
      </c>
      <c r="H36" s="23" t="s">
        <v>154</v>
      </c>
    </row>
  </sheetData>
  <conditionalFormatting sqref="F2:F36">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3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pane xSplit="0" ySplit="1" topLeftCell="A7" activePane="bottomLeft" state="frozen"/>
      <selection pane="topLeft" activeCell="C1" activeCellId="0" sqref="C1"/>
      <selection pane="bottomLeft" activeCell="H9" activeCellId="0" sqref="H9"/>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8.33"/>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155</v>
      </c>
      <c r="B2" s="17" t="s">
        <v>156</v>
      </c>
      <c r="C2" s="17"/>
      <c r="D2" s="17"/>
      <c r="E2" s="17"/>
      <c r="F2" s="17"/>
      <c r="G2" s="17"/>
      <c r="H2" s="17"/>
    </row>
    <row r="3" customFormat="false" ht="73.5" hidden="false" customHeight="true" outlineLevel="0" collapsed="false">
      <c r="A3" s="18" t="s">
        <v>155</v>
      </c>
      <c r="B3" s="18" t="s">
        <v>156</v>
      </c>
      <c r="C3" s="19" t="s">
        <v>157</v>
      </c>
      <c r="D3" s="20" t="s">
        <v>158</v>
      </c>
      <c r="E3" s="30" t="n">
        <v>1</v>
      </c>
      <c r="F3" s="22" t="s">
        <v>45</v>
      </c>
      <c r="G3" s="23" t="s">
        <v>159</v>
      </c>
      <c r="H3" s="23" t="s">
        <v>160</v>
      </c>
    </row>
    <row r="4" customFormat="false" ht="46.5" hidden="false" customHeight="true" outlineLevel="0" collapsed="false">
      <c r="A4" s="25" t="s">
        <v>155</v>
      </c>
      <c r="B4" s="25" t="s">
        <v>156</v>
      </c>
      <c r="C4" s="26" t="s">
        <v>161</v>
      </c>
      <c r="D4" s="27" t="s">
        <v>162</v>
      </c>
      <c r="E4" s="21" t="n">
        <v>2</v>
      </c>
      <c r="F4" s="22" t="s">
        <v>45</v>
      </c>
      <c r="G4" s="28" t="s">
        <v>163</v>
      </c>
      <c r="H4" s="24" t="s">
        <v>164</v>
      </c>
    </row>
    <row r="5" customFormat="false" ht="45.75" hidden="false" customHeight="true" outlineLevel="0" collapsed="false">
      <c r="A5" s="18" t="s">
        <v>155</v>
      </c>
      <c r="B5" s="18" t="s">
        <v>156</v>
      </c>
      <c r="C5" s="19" t="s">
        <v>165</v>
      </c>
      <c r="D5" s="20" t="s">
        <v>166</v>
      </c>
      <c r="E5" s="21" t="n">
        <v>2</v>
      </c>
      <c r="F5" s="22" t="s">
        <v>45</v>
      </c>
      <c r="G5" s="23" t="s">
        <v>167</v>
      </c>
      <c r="H5" s="23" t="s">
        <v>168</v>
      </c>
    </row>
    <row r="6" customFormat="false" ht="18" hidden="false" customHeight="true" outlineLevel="0" collapsed="false">
      <c r="A6" s="17" t="s">
        <v>169</v>
      </c>
      <c r="B6" s="17" t="s">
        <v>170</v>
      </c>
      <c r="C6" s="17"/>
      <c r="D6" s="17"/>
      <c r="E6" s="17"/>
      <c r="F6" s="17"/>
      <c r="G6" s="29"/>
      <c r="H6" s="29"/>
    </row>
    <row r="7" customFormat="false" ht="30" hidden="false" customHeight="true" outlineLevel="0" collapsed="false">
      <c r="A7" s="18" t="s">
        <v>169</v>
      </c>
      <c r="B7" s="18" t="s">
        <v>170</v>
      </c>
      <c r="C7" s="19" t="s">
        <v>171</v>
      </c>
      <c r="D7" s="20" t="s">
        <v>172</v>
      </c>
      <c r="E7" s="30" t="n">
        <v>1</v>
      </c>
      <c r="F7" s="22" t="s">
        <v>45</v>
      </c>
      <c r="G7" s="23" t="s">
        <v>173</v>
      </c>
      <c r="H7" s="23" t="s">
        <v>174</v>
      </c>
    </row>
    <row r="8" customFormat="false" ht="30" hidden="false" customHeight="true" outlineLevel="0" collapsed="false">
      <c r="A8" s="25" t="s">
        <v>169</v>
      </c>
      <c r="B8" s="25" t="s">
        <v>170</v>
      </c>
      <c r="C8" s="26" t="s">
        <v>175</v>
      </c>
      <c r="D8" s="27" t="s">
        <v>176</v>
      </c>
      <c r="E8" s="30" t="n">
        <v>1</v>
      </c>
      <c r="F8" s="22" t="s">
        <v>45</v>
      </c>
      <c r="G8" s="28" t="s">
        <v>177</v>
      </c>
      <c r="H8" s="28" t="s">
        <v>178</v>
      </c>
    </row>
    <row r="9" customFormat="false" ht="30" hidden="false" customHeight="true" outlineLevel="0" collapsed="false">
      <c r="A9" s="18" t="s">
        <v>169</v>
      </c>
      <c r="B9" s="18" t="s">
        <v>170</v>
      </c>
      <c r="C9" s="19" t="s">
        <v>179</v>
      </c>
      <c r="D9" s="20" t="s">
        <v>180</v>
      </c>
      <c r="E9" s="21" t="n">
        <v>2</v>
      </c>
      <c r="F9" s="22" t="s">
        <v>45</v>
      </c>
      <c r="G9" s="23" t="s">
        <v>181</v>
      </c>
      <c r="H9" s="23" t="s">
        <v>182</v>
      </c>
    </row>
    <row r="10" customFormat="false" ht="18" hidden="false" customHeight="true" outlineLevel="0" collapsed="false">
      <c r="A10" s="17" t="s">
        <v>183</v>
      </c>
      <c r="B10" s="17" t="s">
        <v>184</v>
      </c>
      <c r="C10" s="17"/>
      <c r="D10" s="17"/>
      <c r="E10" s="17"/>
      <c r="F10" s="17"/>
      <c r="G10" s="29"/>
      <c r="H10" s="29"/>
    </row>
    <row r="11" customFormat="false" ht="30" hidden="false" customHeight="true" outlineLevel="0" collapsed="false">
      <c r="A11" s="18" t="s">
        <v>183</v>
      </c>
      <c r="B11" s="18" t="s">
        <v>184</v>
      </c>
      <c r="C11" s="19" t="s">
        <v>185</v>
      </c>
      <c r="D11" s="20" t="s">
        <v>186</v>
      </c>
      <c r="E11" s="30" t="n">
        <v>1</v>
      </c>
      <c r="F11" s="22" t="s">
        <v>45</v>
      </c>
      <c r="G11" s="23" t="s">
        <v>187</v>
      </c>
      <c r="H11" s="23" t="s">
        <v>164</v>
      </c>
    </row>
    <row r="12" customFormat="false" ht="30" hidden="false" customHeight="true" outlineLevel="0" collapsed="false">
      <c r="A12" s="25" t="s">
        <v>183</v>
      </c>
      <c r="B12" s="25" t="s">
        <v>184</v>
      </c>
      <c r="C12" s="26" t="s">
        <v>188</v>
      </c>
      <c r="D12" s="27" t="s">
        <v>189</v>
      </c>
      <c r="E12" s="21" t="n">
        <v>2</v>
      </c>
      <c r="F12" s="22" t="s">
        <v>45</v>
      </c>
      <c r="G12" s="28" t="s">
        <v>190</v>
      </c>
      <c r="H12" s="32" t="s">
        <v>191</v>
      </c>
    </row>
    <row r="13" customFormat="false" ht="30" hidden="false" customHeight="true" outlineLevel="0" collapsed="false">
      <c r="A13" s="18" t="s">
        <v>183</v>
      </c>
      <c r="B13" s="18" t="s">
        <v>184</v>
      </c>
      <c r="C13" s="19" t="s">
        <v>192</v>
      </c>
      <c r="D13" s="20" t="s">
        <v>193</v>
      </c>
      <c r="E13" s="21" t="n">
        <v>2</v>
      </c>
      <c r="F13" s="22" t="s">
        <v>45</v>
      </c>
      <c r="G13" s="23" t="s">
        <v>194</v>
      </c>
      <c r="H13" s="23" t="s">
        <v>123</v>
      </c>
    </row>
    <row r="14" customFormat="false" ht="30" hidden="false" customHeight="true" outlineLevel="0" collapsed="false">
      <c r="A14" s="25" t="s">
        <v>183</v>
      </c>
      <c r="B14" s="25" t="s">
        <v>184</v>
      </c>
      <c r="C14" s="26" t="s">
        <v>195</v>
      </c>
      <c r="D14" s="27" t="s">
        <v>196</v>
      </c>
      <c r="E14" s="21" t="n">
        <v>2</v>
      </c>
      <c r="F14" s="22" t="s">
        <v>60</v>
      </c>
      <c r="G14" s="28" t="s">
        <v>197</v>
      </c>
      <c r="H14" s="28" t="s">
        <v>23</v>
      </c>
    </row>
    <row r="15" customFormat="false" ht="30" hidden="false" customHeight="true" outlineLevel="0" collapsed="false">
      <c r="A15" s="18" t="s">
        <v>183</v>
      </c>
      <c r="B15" s="18" t="s">
        <v>184</v>
      </c>
      <c r="C15" s="19" t="s">
        <v>198</v>
      </c>
      <c r="D15" s="20" t="s">
        <v>199</v>
      </c>
      <c r="E15" s="31" t="n">
        <v>3</v>
      </c>
      <c r="F15" s="22" t="s">
        <v>60</v>
      </c>
      <c r="G15" s="23" t="s">
        <v>200</v>
      </c>
      <c r="H15" s="23" t="s">
        <v>23</v>
      </c>
    </row>
    <row r="16" customFormat="false" ht="18" hidden="false" customHeight="true" outlineLevel="0" collapsed="false">
      <c r="A16" s="17" t="s">
        <v>201</v>
      </c>
      <c r="B16" s="17" t="s">
        <v>202</v>
      </c>
      <c r="C16" s="17"/>
      <c r="D16" s="17"/>
      <c r="E16" s="17"/>
      <c r="F16" s="17"/>
      <c r="G16" s="29"/>
      <c r="H16" s="29"/>
    </row>
    <row r="17" customFormat="false" ht="59.25" hidden="false" customHeight="true" outlineLevel="0" collapsed="false">
      <c r="A17" s="18" t="s">
        <v>201</v>
      </c>
      <c r="B17" s="18" t="s">
        <v>202</v>
      </c>
      <c r="C17" s="19" t="s">
        <v>203</v>
      </c>
      <c r="D17" s="20" t="s">
        <v>204</v>
      </c>
      <c r="E17" s="21" t="n">
        <v>2</v>
      </c>
      <c r="F17" s="22" t="s">
        <v>205</v>
      </c>
      <c r="G17" s="32" t="s">
        <v>206</v>
      </c>
      <c r="H17" s="23" t="s">
        <v>207</v>
      </c>
    </row>
    <row r="18" customFormat="false" ht="30" hidden="false" customHeight="true" outlineLevel="0" collapsed="false">
      <c r="A18" s="25" t="s">
        <v>201</v>
      </c>
      <c r="B18" s="25" t="s">
        <v>202</v>
      </c>
      <c r="C18" s="26" t="s">
        <v>208</v>
      </c>
      <c r="D18" s="27" t="s">
        <v>209</v>
      </c>
      <c r="E18" s="31" t="n">
        <v>3</v>
      </c>
      <c r="F18" s="22" t="s">
        <v>60</v>
      </c>
      <c r="G18" s="28" t="s">
        <v>210</v>
      </c>
      <c r="H18" s="28" t="s">
        <v>23</v>
      </c>
    </row>
  </sheetData>
  <conditionalFormatting sqref="F2:F18">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18"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5" activePane="bottomLeft" state="frozen"/>
      <selection pane="topLeft" activeCell="A1" activeCellId="0" sqref="A1"/>
      <selection pane="bottomLeft" activeCell="I29" activeCellId="0" sqref="I29"/>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54.5"/>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211</v>
      </c>
      <c r="B2" s="17" t="s">
        <v>212</v>
      </c>
      <c r="C2" s="17"/>
      <c r="D2" s="17"/>
      <c r="E2" s="17"/>
      <c r="F2" s="17"/>
      <c r="G2" s="17"/>
      <c r="H2" s="17"/>
    </row>
    <row r="3" customFormat="false" ht="54.75" hidden="false" customHeight="true" outlineLevel="0" collapsed="false">
      <c r="A3" s="18" t="s">
        <v>211</v>
      </c>
      <c r="B3" s="18" t="s">
        <v>212</v>
      </c>
      <c r="C3" s="19" t="s">
        <v>213</v>
      </c>
      <c r="D3" s="20" t="s">
        <v>214</v>
      </c>
      <c r="E3" s="31" t="n">
        <v>3</v>
      </c>
      <c r="F3" s="22" t="s">
        <v>60</v>
      </c>
      <c r="G3" s="33" t="s">
        <v>215</v>
      </c>
      <c r="H3" s="33" t="s">
        <v>23</v>
      </c>
    </row>
    <row r="4" customFormat="false" ht="18" hidden="false" customHeight="true" outlineLevel="0" collapsed="false">
      <c r="A4" s="17" t="s">
        <v>216</v>
      </c>
      <c r="B4" s="17" t="s">
        <v>217</v>
      </c>
      <c r="C4" s="17"/>
      <c r="D4" s="17"/>
      <c r="E4" s="17"/>
      <c r="F4" s="17"/>
      <c r="G4" s="34"/>
      <c r="H4" s="17"/>
    </row>
    <row r="5" customFormat="false" ht="27" hidden="false" customHeight="true" outlineLevel="0" collapsed="false">
      <c r="A5" s="18" t="s">
        <v>216</v>
      </c>
      <c r="B5" s="18" t="s">
        <v>217</v>
      </c>
      <c r="C5" s="19" t="s">
        <v>218</v>
      </c>
      <c r="D5" s="20" t="s">
        <v>219</v>
      </c>
      <c r="E5" s="30" t="n">
        <v>1</v>
      </c>
      <c r="F5" s="22" t="s">
        <v>60</v>
      </c>
      <c r="G5" s="33" t="s">
        <v>220</v>
      </c>
      <c r="H5" s="33" t="s">
        <v>23</v>
      </c>
    </row>
    <row r="6" customFormat="false" ht="23.25" hidden="false" customHeight="true" outlineLevel="0" collapsed="false">
      <c r="A6" s="25" t="s">
        <v>216</v>
      </c>
      <c r="B6" s="25" t="s">
        <v>217</v>
      </c>
      <c r="C6" s="26" t="s">
        <v>221</v>
      </c>
      <c r="D6" s="27" t="s">
        <v>222</v>
      </c>
      <c r="E6" s="30" t="n">
        <v>1</v>
      </c>
      <c r="F6" s="22" t="s">
        <v>60</v>
      </c>
      <c r="G6" s="33" t="s">
        <v>223</v>
      </c>
      <c r="H6" s="33" t="s">
        <v>23</v>
      </c>
    </row>
    <row r="7" customFormat="false" ht="21" hidden="false" customHeight="true" outlineLevel="0" collapsed="false">
      <c r="A7" s="18" t="s">
        <v>216</v>
      </c>
      <c r="B7" s="18" t="s">
        <v>217</v>
      </c>
      <c r="C7" s="19" t="s">
        <v>224</v>
      </c>
      <c r="D7" s="20" t="s">
        <v>225</v>
      </c>
      <c r="E7" s="31" t="n">
        <v>3</v>
      </c>
      <c r="F7" s="22" t="s">
        <v>60</v>
      </c>
      <c r="G7" s="33" t="s">
        <v>226</v>
      </c>
      <c r="H7" s="33" t="s">
        <v>23</v>
      </c>
    </row>
    <row r="8" customFormat="false" ht="18" hidden="false" customHeight="true" outlineLevel="0" collapsed="false">
      <c r="A8" s="17" t="s">
        <v>227</v>
      </c>
      <c r="B8" s="17" t="s">
        <v>228</v>
      </c>
      <c r="C8" s="17"/>
      <c r="D8" s="17"/>
      <c r="E8" s="17"/>
      <c r="F8" s="17"/>
      <c r="G8" s="34"/>
      <c r="H8" s="17"/>
    </row>
    <row r="9" customFormat="false" ht="18" hidden="false" customHeight="true" outlineLevel="0" collapsed="false">
      <c r="A9" s="18" t="s">
        <v>227</v>
      </c>
      <c r="B9" s="18" t="s">
        <v>228</v>
      </c>
      <c r="C9" s="19" t="s">
        <v>229</v>
      </c>
      <c r="D9" s="20" t="s">
        <v>230</v>
      </c>
      <c r="E9" s="30" t="n">
        <v>1</v>
      </c>
      <c r="F9" s="22" t="s">
        <v>60</v>
      </c>
      <c r="G9" s="33" t="s">
        <v>231</v>
      </c>
      <c r="H9" s="33" t="s">
        <v>23</v>
      </c>
    </row>
    <row r="10" customFormat="false" ht="21" hidden="false" customHeight="true" outlineLevel="0" collapsed="false">
      <c r="A10" s="25" t="s">
        <v>227</v>
      </c>
      <c r="B10" s="25" t="s">
        <v>228</v>
      </c>
      <c r="C10" s="26" t="s">
        <v>232</v>
      </c>
      <c r="D10" s="27" t="s">
        <v>233</v>
      </c>
      <c r="E10" s="21" t="n">
        <v>2</v>
      </c>
      <c r="F10" s="22" t="s">
        <v>60</v>
      </c>
      <c r="G10" s="33" t="s">
        <v>234</v>
      </c>
      <c r="H10" s="33" t="s">
        <v>23</v>
      </c>
    </row>
    <row r="11" customFormat="false" ht="30" hidden="false" customHeight="true" outlineLevel="0" collapsed="false">
      <c r="A11" s="18" t="s">
        <v>227</v>
      </c>
      <c r="B11" s="18" t="s">
        <v>228</v>
      </c>
      <c r="C11" s="19" t="s">
        <v>235</v>
      </c>
      <c r="D11" s="20" t="s">
        <v>236</v>
      </c>
      <c r="E11" s="21" t="n">
        <v>2</v>
      </c>
      <c r="F11" s="22" t="s">
        <v>60</v>
      </c>
      <c r="G11" s="33" t="s">
        <v>234</v>
      </c>
      <c r="H11" s="33" t="s">
        <v>23</v>
      </c>
    </row>
    <row r="12" customFormat="false" ht="30" hidden="false" customHeight="true" outlineLevel="0" collapsed="false">
      <c r="A12" s="25" t="s">
        <v>227</v>
      </c>
      <c r="B12" s="25" t="s">
        <v>228</v>
      </c>
      <c r="C12" s="26" t="s">
        <v>237</v>
      </c>
      <c r="D12" s="27" t="s">
        <v>238</v>
      </c>
      <c r="E12" s="21" t="n">
        <v>2</v>
      </c>
      <c r="F12" s="22" t="s">
        <v>60</v>
      </c>
      <c r="G12" s="33" t="s">
        <v>234</v>
      </c>
      <c r="H12" s="33" t="s">
        <v>23</v>
      </c>
    </row>
    <row r="13" customFormat="false" ht="30" hidden="false" customHeight="true" outlineLevel="0" collapsed="false">
      <c r="A13" s="18" t="s">
        <v>227</v>
      </c>
      <c r="B13" s="18" t="s">
        <v>228</v>
      </c>
      <c r="C13" s="19" t="s">
        <v>239</v>
      </c>
      <c r="D13" s="20" t="s">
        <v>240</v>
      </c>
      <c r="E13" s="31" t="n">
        <v>3</v>
      </c>
      <c r="F13" s="22" t="s">
        <v>60</v>
      </c>
      <c r="G13" s="33" t="s">
        <v>234</v>
      </c>
      <c r="H13" s="33" t="s">
        <v>23</v>
      </c>
    </row>
    <row r="14" customFormat="false" ht="18" hidden="false" customHeight="true" outlineLevel="0" collapsed="false">
      <c r="A14" s="17" t="s">
        <v>241</v>
      </c>
      <c r="B14" s="17" t="s">
        <v>242</v>
      </c>
      <c r="C14" s="17"/>
      <c r="D14" s="17"/>
      <c r="E14" s="17"/>
      <c r="F14" s="17"/>
      <c r="G14" s="34"/>
      <c r="H14" s="17"/>
    </row>
    <row r="15" customFormat="false" ht="30" hidden="false" customHeight="true" outlineLevel="0" collapsed="false">
      <c r="A15" s="18" t="s">
        <v>241</v>
      </c>
      <c r="B15" s="18" t="s">
        <v>242</v>
      </c>
      <c r="C15" s="19" t="s">
        <v>243</v>
      </c>
      <c r="D15" s="20" t="s">
        <v>244</v>
      </c>
      <c r="E15" s="30" t="n">
        <v>1</v>
      </c>
      <c r="F15" s="22" t="s">
        <v>60</v>
      </c>
      <c r="G15" s="33" t="s">
        <v>245</v>
      </c>
      <c r="H15" s="33" t="s">
        <v>23</v>
      </c>
    </row>
    <row r="16" customFormat="false" ht="30" hidden="false" customHeight="true" outlineLevel="0" collapsed="false">
      <c r="A16" s="25" t="s">
        <v>241</v>
      </c>
      <c r="B16" s="25" t="s">
        <v>242</v>
      </c>
      <c r="C16" s="26" t="s">
        <v>246</v>
      </c>
      <c r="D16" s="27" t="s">
        <v>247</v>
      </c>
      <c r="E16" s="30" t="n">
        <v>1</v>
      </c>
      <c r="F16" s="22" t="s">
        <v>60</v>
      </c>
      <c r="G16" s="33" t="s">
        <v>248</v>
      </c>
      <c r="H16" s="33" t="s">
        <v>23</v>
      </c>
    </row>
    <row r="17" customFormat="false" ht="30" hidden="false" customHeight="true" outlineLevel="0" collapsed="false">
      <c r="A17" s="18" t="s">
        <v>241</v>
      </c>
      <c r="B17" s="18" t="s">
        <v>242</v>
      </c>
      <c r="C17" s="19" t="s">
        <v>249</v>
      </c>
      <c r="D17" s="20" t="s">
        <v>250</v>
      </c>
      <c r="E17" s="21" t="n">
        <v>2</v>
      </c>
      <c r="F17" s="22" t="s">
        <v>60</v>
      </c>
      <c r="G17" s="33" t="s">
        <v>251</v>
      </c>
      <c r="H17" s="33" t="s">
        <v>23</v>
      </c>
    </row>
    <row r="18" customFormat="false" ht="30" hidden="false" customHeight="true" outlineLevel="0" collapsed="false">
      <c r="A18" s="25" t="s">
        <v>241</v>
      </c>
      <c r="B18" s="25" t="s">
        <v>242</v>
      </c>
      <c r="C18" s="26" t="s">
        <v>252</v>
      </c>
      <c r="D18" s="27" t="s">
        <v>253</v>
      </c>
      <c r="E18" s="21" t="n">
        <v>2</v>
      </c>
      <c r="F18" s="22" t="s">
        <v>60</v>
      </c>
      <c r="G18" s="33" t="s">
        <v>254</v>
      </c>
      <c r="H18" s="33" t="s">
        <v>23</v>
      </c>
    </row>
    <row r="19" customFormat="false" ht="30" hidden="false" customHeight="true" outlineLevel="0" collapsed="false">
      <c r="A19" s="18" t="s">
        <v>241</v>
      </c>
      <c r="B19" s="18" t="s">
        <v>242</v>
      </c>
      <c r="C19" s="19" t="s">
        <v>255</v>
      </c>
      <c r="D19" s="20" t="s">
        <v>256</v>
      </c>
      <c r="E19" s="21" t="n">
        <v>2</v>
      </c>
      <c r="F19" s="22" t="s">
        <v>60</v>
      </c>
      <c r="G19" s="33" t="s">
        <v>257</v>
      </c>
      <c r="H19" s="33" t="s">
        <v>23</v>
      </c>
    </row>
    <row r="20" customFormat="false" ht="30" hidden="false" customHeight="true" outlineLevel="0" collapsed="false">
      <c r="A20" s="25" t="s">
        <v>241</v>
      </c>
      <c r="B20" s="25" t="s">
        <v>242</v>
      </c>
      <c r="C20" s="26" t="s">
        <v>258</v>
      </c>
      <c r="D20" s="27" t="s">
        <v>259</v>
      </c>
      <c r="E20" s="21" t="n">
        <v>2</v>
      </c>
      <c r="F20" s="22" t="s">
        <v>60</v>
      </c>
      <c r="G20" s="33" t="s">
        <v>260</v>
      </c>
      <c r="H20" s="33" t="s">
        <v>23</v>
      </c>
    </row>
    <row r="21" customFormat="false" ht="30" hidden="false" customHeight="true" outlineLevel="0" collapsed="false">
      <c r="A21" s="18" t="s">
        <v>241</v>
      </c>
      <c r="B21" s="18" t="s">
        <v>242</v>
      </c>
      <c r="C21" s="19" t="s">
        <v>261</v>
      </c>
      <c r="D21" s="20" t="s">
        <v>262</v>
      </c>
      <c r="E21" s="31" t="n">
        <v>3</v>
      </c>
      <c r="F21" s="22" t="s">
        <v>60</v>
      </c>
      <c r="G21" s="33" t="s">
        <v>263</v>
      </c>
      <c r="H21" s="33" t="s">
        <v>23</v>
      </c>
    </row>
    <row r="22" customFormat="false" ht="30" hidden="false" customHeight="true" outlineLevel="0" collapsed="false">
      <c r="A22" s="25" t="s">
        <v>241</v>
      </c>
      <c r="B22" s="25" t="s">
        <v>242</v>
      </c>
      <c r="C22" s="26" t="s">
        <v>264</v>
      </c>
      <c r="D22" s="27" t="s">
        <v>265</v>
      </c>
      <c r="E22" s="31" t="n">
        <v>3</v>
      </c>
      <c r="F22" s="22" t="s">
        <v>60</v>
      </c>
      <c r="G22" s="33" t="s">
        <v>266</v>
      </c>
      <c r="H22" s="33" t="s">
        <v>23</v>
      </c>
    </row>
    <row r="23" customFormat="false" ht="18" hidden="false" customHeight="true" outlineLevel="0" collapsed="false">
      <c r="A23" s="17" t="s">
        <v>267</v>
      </c>
      <c r="B23" s="17" t="s">
        <v>268</v>
      </c>
      <c r="C23" s="17"/>
      <c r="D23" s="17"/>
      <c r="E23" s="17"/>
      <c r="F23" s="17"/>
      <c r="G23" s="34"/>
      <c r="H23" s="17"/>
    </row>
    <row r="24" customFormat="false" ht="30" hidden="false" customHeight="true" outlineLevel="0" collapsed="false">
      <c r="A24" s="18" t="s">
        <v>267</v>
      </c>
      <c r="B24" s="18" t="s">
        <v>268</v>
      </c>
      <c r="C24" s="19" t="s">
        <v>269</v>
      </c>
      <c r="D24" s="20" t="s">
        <v>270</v>
      </c>
      <c r="E24" s="30" t="n">
        <v>1</v>
      </c>
      <c r="F24" s="22" t="s">
        <v>60</v>
      </c>
      <c r="G24" s="33" t="s">
        <v>271</v>
      </c>
      <c r="H24" s="33" t="s">
        <v>23</v>
      </c>
    </row>
    <row r="25" customFormat="false" ht="30" hidden="false" customHeight="true" outlineLevel="0" collapsed="false">
      <c r="A25" s="25" t="s">
        <v>267</v>
      </c>
      <c r="B25" s="25" t="s">
        <v>268</v>
      </c>
      <c r="C25" s="26" t="s">
        <v>272</v>
      </c>
      <c r="D25" s="27" t="s">
        <v>273</v>
      </c>
      <c r="E25" s="30" t="n">
        <v>1</v>
      </c>
      <c r="F25" s="22" t="s">
        <v>60</v>
      </c>
      <c r="G25" s="33" t="s">
        <v>274</v>
      </c>
      <c r="H25" s="33" t="s">
        <v>23</v>
      </c>
    </row>
    <row r="26" customFormat="false" ht="30" hidden="false" customHeight="true" outlineLevel="0" collapsed="false">
      <c r="A26" s="18" t="s">
        <v>267</v>
      </c>
      <c r="B26" s="18" t="s">
        <v>268</v>
      </c>
      <c r="C26" s="19" t="s">
        <v>275</v>
      </c>
      <c r="D26" s="20" t="s">
        <v>276</v>
      </c>
      <c r="E26" s="30" t="n">
        <v>1</v>
      </c>
      <c r="F26" s="22" t="s">
        <v>45</v>
      </c>
      <c r="G26" s="33" t="s">
        <v>277</v>
      </c>
      <c r="H26" s="33" t="s">
        <v>23</v>
      </c>
    </row>
    <row r="27" customFormat="false" ht="30" hidden="false" customHeight="true" outlineLevel="0" collapsed="false">
      <c r="A27" s="25" t="s">
        <v>267</v>
      </c>
      <c r="B27" s="25" t="s">
        <v>268</v>
      </c>
      <c r="C27" s="26" t="s">
        <v>278</v>
      </c>
      <c r="D27" s="27" t="s">
        <v>279</v>
      </c>
      <c r="E27" s="21" t="n">
        <v>2</v>
      </c>
      <c r="F27" s="22" t="s">
        <v>60</v>
      </c>
      <c r="G27" s="33" t="s">
        <v>280</v>
      </c>
      <c r="H27" s="33" t="s">
        <v>23</v>
      </c>
    </row>
    <row r="28" customFormat="false" ht="30" hidden="false" customHeight="true" outlineLevel="0" collapsed="false">
      <c r="A28" s="18" t="s">
        <v>267</v>
      </c>
      <c r="B28" s="18" t="s">
        <v>268</v>
      </c>
      <c r="C28" s="19" t="s">
        <v>281</v>
      </c>
      <c r="D28" s="20" t="s">
        <v>282</v>
      </c>
      <c r="E28" s="21" t="n">
        <v>2</v>
      </c>
      <c r="F28" s="22" t="s">
        <v>60</v>
      </c>
      <c r="G28" s="33" t="s">
        <v>283</v>
      </c>
      <c r="H28" s="33" t="s">
        <v>23</v>
      </c>
    </row>
    <row r="29" customFormat="false" ht="30" hidden="false" customHeight="true" outlineLevel="0" collapsed="false">
      <c r="A29" s="25" t="s">
        <v>267</v>
      </c>
      <c r="B29" s="25" t="s">
        <v>268</v>
      </c>
      <c r="C29" s="26" t="s">
        <v>284</v>
      </c>
      <c r="D29" s="27" t="s">
        <v>285</v>
      </c>
      <c r="E29" s="31" t="n">
        <v>3</v>
      </c>
      <c r="F29" s="22" t="s">
        <v>60</v>
      </c>
      <c r="G29" s="33" t="s">
        <v>286</v>
      </c>
      <c r="H29" s="33" t="s">
        <v>23</v>
      </c>
    </row>
    <row r="30" customFormat="false" ht="30" hidden="false" customHeight="true" outlineLevel="0" collapsed="false">
      <c r="A30" s="18" t="s">
        <v>267</v>
      </c>
      <c r="B30" s="18" t="s">
        <v>268</v>
      </c>
      <c r="C30" s="19" t="s">
        <v>287</v>
      </c>
      <c r="D30" s="20" t="s">
        <v>288</v>
      </c>
      <c r="E30" s="31" t="n">
        <v>3</v>
      </c>
      <c r="F30" s="22" t="s">
        <v>60</v>
      </c>
      <c r="G30" s="33" t="s">
        <v>289</v>
      </c>
      <c r="H30" s="33" t="s">
        <v>23</v>
      </c>
    </row>
    <row r="31" customFormat="false" ht="30" hidden="false" customHeight="true" outlineLevel="0" collapsed="false">
      <c r="A31" s="25" t="s">
        <v>267</v>
      </c>
      <c r="B31" s="25" t="s">
        <v>268</v>
      </c>
      <c r="C31" s="26" t="s">
        <v>290</v>
      </c>
      <c r="D31" s="27" t="s">
        <v>291</v>
      </c>
      <c r="E31" s="31" t="n">
        <v>3</v>
      </c>
      <c r="F31" s="22" t="s">
        <v>60</v>
      </c>
      <c r="G31" s="33" t="s">
        <v>292</v>
      </c>
      <c r="H31" s="33" t="s">
        <v>23</v>
      </c>
    </row>
    <row r="32" customFormat="false" ht="18" hidden="false" customHeight="true" outlineLevel="0" collapsed="false">
      <c r="A32" s="17" t="s">
        <v>293</v>
      </c>
      <c r="B32" s="17" t="s">
        <v>294</v>
      </c>
      <c r="C32" s="17"/>
      <c r="D32" s="17"/>
      <c r="E32" s="17"/>
      <c r="F32" s="17"/>
      <c r="G32" s="34"/>
      <c r="H32" s="17"/>
    </row>
    <row r="33" customFormat="false" ht="30" hidden="false" customHeight="true" outlineLevel="0" collapsed="false">
      <c r="A33" s="18" t="s">
        <v>293</v>
      </c>
      <c r="B33" s="18" t="s">
        <v>294</v>
      </c>
      <c r="C33" s="19" t="s">
        <v>295</v>
      </c>
      <c r="D33" s="20" t="s">
        <v>296</v>
      </c>
      <c r="E33" s="31" t="n">
        <v>3</v>
      </c>
      <c r="F33" s="22" t="s">
        <v>60</v>
      </c>
      <c r="G33" s="33" t="s">
        <v>297</v>
      </c>
      <c r="H33" s="33" t="s">
        <v>23</v>
      </c>
    </row>
    <row r="34" customFormat="false" ht="18" hidden="false" customHeight="true" outlineLevel="0" collapsed="false">
      <c r="A34" s="17" t="s">
        <v>298</v>
      </c>
      <c r="B34" s="17" t="s">
        <v>299</v>
      </c>
      <c r="C34" s="17"/>
      <c r="D34" s="17"/>
      <c r="E34" s="17"/>
      <c r="F34" s="17"/>
      <c r="G34" s="34"/>
      <c r="H34" s="17"/>
    </row>
    <row r="35" customFormat="false" ht="30" hidden="false" customHeight="true" outlineLevel="0" collapsed="false">
      <c r="A35" s="18" t="s">
        <v>298</v>
      </c>
      <c r="B35" s="18" t="s">
        <v>299</v>
      </c>
      <c r="C35" s="19" t="s">
        <v>300</v>
      </c>
      <c r="D35" s="20" t="s">
        <v>301</v>
      </c>
      <c r="E35" s="21" t="n">
        <v>2</v>
      </c>
      <c r="F35" s="22" t="s">
        <v>60</v>
      </c>
      <c r="G35" s="33" t="s">
        <v>302</v>
      </c>
      <c r="H35" s="33" t="s">
        <v>23</v>
      </c>
    </row>
    <row r="36" customFormat="false" ht="30" hidden="false" customHeight="true" outlineLevel="0" collapsed="false">
      <c r="A36" s="25" t="s">
        <v>298</v>
      </c>
      <c r="B36" s="25" t="s">
        <v>299</v>
      </c>
      <c r="C36" s="26" t="s">
        <v>303</v>
      </c>
      <c r="D36" s="27" t="s">
        <v>304</v>
      </c>
      <c r="E36" s="21" t="n">
        <v>2</v>
      </c>
      <c r="F36" s="22" t="s">
        <v>60</v>
      </c>
      <c r="G36" s="33" t="s">
        <v>305</v>
      </c>
      <c r="H36" s="33" t="s">
        <v>23</v>
      </c>
    </row>
    <row r="37" customFormat="false" ht="30" hidden="false" customHeight="true" outlineLevel="0" collapsed="false">
      <c r="A37" s="18" t="s">
        <v>298</v>
      </c>
      <c r="B37" s="18" t="s">
        <v>299</v>
      </c>
      <c r="C37" s="19" t="s">
        <v>306</v>
      </c>
      <c r="D37" s="20" t="s">
        <v>307</v>
      </c>
      <c r="E37" s="31" t="n">
        <v>3</v>
      </c>
      <c r="F37" s="22" t="s">
        <v>60</v>
      </c>
      <c r="G37" s="33" t="s">
        <v>308</v>
      </c>
      <c r="H37" s="33" t="s">
        <v>23</v>
      </c>
    </row>
    <row r="38" customFormat="false" ht="30" hidden="false" customHeight="true" outlineLevel="0" collapsed="false">
      <c r="A38" s="25" t="s">
        <v>298</v>
      </c>
      <c r="B38" s="25" t="s">
        <v>299</v>
      </c>
      <c r="C38" s="26" t="s">
        <v>309</v>
      </c>
      <c r="D38" s="27" t="s">
        <v>310</v>
      </c>
      <c r="E38" s="31" t="n">
        <v>3</v>
      </c>
      <c r="F38" s="22" t="s">
        <v>60</v>
      </c>
      <c r="G38" s="33" t="s">
        <v>311</v>
      </c>
      <c r="H38" s="33" t="s">
        <v>23</v>
      </c>
    </row>
    <row r="39" customFormat="false" ht="30" hidden="false" customHeight="true" outlineLevel="0" collapsed="false">
      <c r="A39" s="18" t="s">
        <v>298</v>
      </c>
      <c r="B39" s="18" t="s">
        <v>299</v>
      </c>
      <c r="C39" s="19" t="s">
        <v>312</v>
      </c>
      <c r="D39" s="20" t="s">
        <v>313</v>
      </c>
      <c r="E39" s="31" t="n">
        <v>3</v>
      </c>
      <c r="F39" s="22" t="s">
        <v>60</v>
      </c>
      <c r="G39" s="33" t="s">
        <v>314</v>
      </c>
      <c r="H39" s="33" t="s">
        <v>23</v>
      </c>
    </row>
  </sheetData>
  <conditionalFormatting sqref="F2:F39">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39"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3" activeCellId="0" sqref="H3"/>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315</v>
      </c>
      <c r="B2" s="17" t="s">
        <v>316</v>
      </c>
      <c r="C2" s="17"/>
      <c r="D2" s="17"/>
      <c r="E2" s="17"/>
      <c r="F2" s="17"/>
      <c r="G2" s="17"/>
      <c r="H2" s="17"/>
    </row>
    <row r="3" customFormat="false" ht="30" hidden="false" customHeight="true" outlineLevel="0" collapsed="false">
      <c r="A3" s="18" t="s">
        <v>315</v>
      </c>
      <c r="B3" s="18" t="s">
        <v>316</v>
      </c>
      <c r="C3" s="19" t="s">
        <v>317</v>
      </c>
      <c r="D3" s="20" t="s">
        <v>318</v>
      </c>
      <c r="E3" s="30" t="n">
        <v>1</v>
      </c>
      <c r="F3" s="22" t="s">
        <v>45</v>
      </c>
      <c r="G3" s="20" t="s">
        <v>319</v>
      </c>
      <c r="H3" s="20" t="s">
        <v>320</v>
      </c>
    </row>
    <row r="4" customFormat="false" ht="30" hidden="false" customHeight="true" outlineLevel="0" collapsed="false">
      <c r="A4" s="25" t="s">
        <v>315</v>
      </c>
      <c r="B4" s="25" t="s">
        <v>316</v>
      </c>
      <c r="C4" s="26" t="s">
        <v>321</v>
      </c>
      <c r="D4" s="27" t="s">
        <v>322</v>
      </c>
      <c r="E4" s="21" t="n">
        <v>2</v>
      </c>
      <c r="F4" s="22" t="s">
        <v>205</v>
      </c>
      <c r="G4" s="32" t="s">
        <v>323</v>
      </c>
      <c r="H4" s="32" t="s">
        <v>324</v>
      </c>
    </row>
    <row r="5" customFormat="false" ht="30" hidden="false" customHeight="true" outlineLevel="0" collapsed="false">
      <c r="A5" s="18" t="s">
        <v>315</v>
      </c>
      <c r="B5" s="18" t="s">
        <v>316</v>
      </c>
      <c r="C5" s="19" t="s">
        <v>325</v>
      </c>
      <c r="D5" s="20" t="s">
        <v>326</v>
      </c>
      <c r="E5" s="21" t="n">
        <v>2</v>
      </c>
      <c r="F5" s="22" t="s">
        <v>60</v>
      </c>
      <c r="G5" s="32" t="s">
        <v>327</v>
      </c>
      <c r="H5" s="20" t="s">
        <v>23</v>
      </c>
    </row>
    <row r="6" customFormat="false" ht="30" hidden="false" customHeight="true" outlineLevel="0" collapsed="false">
      <c r="A6" s="25" t="s">
        <v>315</v>
      </c>
      <c r="B6" s="25" t="s">
        <v>316</v>
      </c>
      <c r="C6" s="26" t="s">
        <v>328</v>
      </c>
      <c r="D6" s="27" t="s">
        <v>329</v>
      </c>
      <c r="E6" s="31" t="n">
        <v>3</v>
      </c>
      <c r="F6" s="22" t="s">
        <v>205</v>
      </c>
      <c r="G6" s="32" t="s">
        <v>330</v>
      </c>
      <c r="H6" s="32" t="s">
        <v>331</v>
      </c>
    </row>
    <row r="7" customFormat="false" ht="30" hidden="false" customHeight="true" outlineLevel="0" collapsed="false">
      <c r="A7" s="18" t="s">
        <v>315</v>
      </c>
      <c r="B7" s="18" t="s">
        <v>316</v>
      </c>
      <c r="C7" s="19" t="s">
        <v>332</v>
      </c>
      <c r="D7" s="20" t="s">
        <v>333</v>
      </c>
      <c r="E7" s="31" t="n">
        <v>3</v>
      </c>
      <c r="F7" s="22" t="s">
        <v>60</v>
      </c>
      <c r="G7" s="20" t="s">
        <v>334</v>
      </c>
      <c r="H7" s="20" t="s">
        <v>23</v>
      </c>
    </row>
    <row r="8" customFormat="false" ht="18" hidden="false" customHeight="true" outlineLevel="0" collapsed="false">
      <c r="A8" s="17" t="s">
        <v>335</v>
      </c>
      <c r="B8" s="17" t="s">
        <v>336</v>
      </c>
      <c r="C8" s="17"/>
      <c r="D8" s="17"/>
      <c r="E8" s="17"/>
      <c r="F8" s="17"/>
      <c r="G8" s="17"/>
      <c r="H8" s="17"/>
    </row>
    <row r="9" customFormat="false" ht="30" hidden="false" customHeight="true" outlineLevel="0" collapsed="false">
      <c r="A9" s="18" t="s">
        <v>335</v>
      </c>
      <c r="B9" s="18" t="s">
        <v>336</v>
      </c>
      <c r="C9" s="19" t="s">
        <v>337</v>
      </c>
      <c r="D9" s="20" t="s">
        <v>338</v>
      </c>
      <c r="E9" s="21" t="n">
        <v>2</v>
      </c>
      <c r="F9" s="22" t="s">
        <v>60</v>
      </c>
      <c r="G9" s="32" t="s">
        <v>339</v>
      </c>
      <c r="H9" s="20" t="s">
        <v>23</v>
      </c>
    </row>
    <row r="10" customFormat="false" ht="30" hidden="false" customHeight="true" outlineLevel="0" collapsed="false">
      <c r="A10" s="25" t="s">
        <v>335</v>
      </c>
      <c r="B10" s="25" t="s">
        <v>336</v>
      </c>
      <c r="C10" s="26" t="s">
        <v>340</v>
      </c>
      <c r="D10" s="27" t="s">
        <v>341</v>
      </c>
      <c r="E10" s="31" t="n">
        <v>3</v>
      </c>
      <c r="F10" s="22" t="s">
        <v>60</v>
      </c>
      <c r="G10" s="27" t="s">
        <v>342</v>
      </c>
      <c r="H10" s="27" t="s">
        <v>343</v>
      </c>
    </row>
    <row r="11" customFormat="false" ht="30" hidden="false" customHeight="true" outlineLevel="0" collapsed="false">
      <c r="A11" s="18" t="s">
        <v>335</v>
      </c>
      <c r="B11" s="18" t="s">
        <v>336</v>
      </c>
      <c r="C11" s="19" t="s">
        <v>344</v>
      </c>
      <c r="D11" s="20" t="s">
        <v>345</v>
      </c>
      <c r="E11" s="31" t="n">
        <v>3</v>
      </c>
      <c r="F11" s="22" t="s">
        <v>60</v>
      </c>
      <c r="G11" s="27" t="s">
        <v>342</v>
      </c>
      <c r="H11" s="27" t="s">
        <v>343</v>
      </c>
    </row>
    <row r="12" customFormat="false" ht="30" hidden="false" customHeight="true" outlineLevel="0" collapsed="false">
      <c r="A12" s="25" t="s">
        <v>335</v>
      </c>
      <c r="B12" s="25" t="s">
        <v>336</v>
      </c>
      <c r="C12" s="26" t="s">
        <v>346</v>
      </c>
      <c r="D12" s="27" t="s">
        <v>347</v>
      </c>
      <c r="E12" s="31" t="n">
        <v>3</v>
      </c>
      <c r="F12" s="22" t="s">
        <v>60</v>
      </c>
      <c r="G12" s="27" t="s">
        <v>342</v>
      </c>
      <c r="H12" s="27" t="s">
        <v>343</v>
      </c>
    </row>
    <row r="13" customFormat="false" ht="30" hidden="false" customHeight="true" outlineLevel="0" collapsed="false">
      <c r="A13" s="18" t="s">
        <v>335</v>
      </c>
      <c r="B13" s="18" t="s">
        <v>336</v>
      </c>
      <c r="C13" s="19" t="s">
        <v>348</v>
      </c>
      <c r="D13" s="20" t="s">
        <v>349</v>
      </c>
      <c r="E13" s="31" t="n">
        <v>3</v>
      </c>
      <c r="F13" s="22" t="s">
        <v>60</v>
      </c>
      <c r="G13" s="27" t="s">
        <v>342</v>
      </c>
      <c r="H13" s="27" t="s">
        <v>343</v>
      </c>
    </row>
    <row r="14" customFormat="false" ht="18" hidden="false" customHeight="true" outlineLevel="0" collapsed="false">
      <c r="A14" s="17" t="s">
        <v>350</v>
      </c>
      <c r="B14" s="17" t="s">
        <v>351</v>
      </c>
      <c r="C14" s="17"/>
      <c r="D14" s="17"/>
      <c r="E14" s="17"/>
      <c r="F14" s="17"/>
      <c r="G14" s="17"/>
      <c r="H14" s="17"/>
    </row>
    <row r="15" customFormat="false" ht="30" hidden="false" customHeight="true" outlineLevel="0" collapsed="false">
      <c r="A15" s="18" t="s">
        <v>350</v>
      </c>
      <c r="B15" s="18" t="s">
        <v>351</v>
      </c>
      <c r="C15" s="19" t="s">
        <v>352</v>
      </c>
      <c r="D15" s="20" t="s">
        <v>353</v>
      </c>
      <c r="E15" s="21" t="n">
        <v>2</v>
      </c>
      <c r="F15" s="22" t="s">
        <v>60</v>
      </c>
      <c r="G15" s="32" t="s">
        <v>354</v>
      </c>
      <c r="H15" s="20" t="s">
        <v>23</v>
      </c>
    </row>
    <row r="16" customFormat="false" ht="30" hidden="false" customHeight="true" outlineLevel="0" collapsed="false">
      <c r="A16" s="25" t="s">
        <v>350</v>
      </c>
      <c r="B16" s="25" t="s">
        <v>351</v>
      </c>
      <c r="C16" s="26" t="s">
        <v>355</v>
      </c>
      <c r="D16" s="27" t="s">
        <v>356</v>
      </c>
      <c r="E16" s="21" t="n">
        <v>2</v>
      </c>
      <c r="F16" s="22" t="s">
        <v>60</v>
      </c>
      <c r="G16" s="32" t="s">
        <v>354</v>
      </c>
      <c r="H16" s="20" t="s">
        <v>23</v>
      </c>
    </row>
    <row r="17" customFormat="false" ht="18" hidden="false" customHeight="true" outlineLevel="0" collapsed="false">
      <c r="A17" s="17" t="s">
        <v>357</v>
      </c>
      <c r="B17" s="17" t="s">
        <v>358</v>
      </c>
      <c r="C17" s="17"/>
      <c r="D17" s="17"/>
      <c r="E17" s="17"/>
      <c r="F17" s="17"/>
      <c r="G17" s="17"/>
      <c r="H17" s="17"/>
    </row>
    <row r="18" customFormat="false" ht="30" hidden="false" customHeight="true" outlineLevel="0" collapsed="false">
      <c r="A18" s="18" t="s">
        <v>357</v>
      </c>
      <c r="B18" s="18" t="s">
        <v>358</v>
      </c>
      <c r="C18" s="19" t="s">
        <v>359</v>
      </c>
      <c r="D18" s="20" t="s">
        <v>360</v>
      </c>
      <c r="E18" s="30" t="n">
        <v>1</v>
      </c>
      <c r="F18" s="22" t="s">
        <v>60</v>
      </c>
      <c r="G18" s="32" t="s">
        <v>361</v>
      </c>
      <c r="H18" s="20" t="s">
        <v>23</v>
      </c>
    </row>
    <row r="19" customFormat="false" ht="30" hidden="false" customHeight="true" outlineLevel="0" collapsed="false">
      <c r="A19" s="25" t="s">
        <v>357</v>
      </c>
      <c r="B19" s="25" t="s">
        <v>358</v>
      </c>
      <c r="C19" s="26" t="s">
        <v>362</v>
      </c>
      <c r="D19" s="27" t="s">
        <v>363</v>
      </c>
      <c r="E19" s="21" t="n">
        <v>2</v>
      </c>
      <c r="F19" s="22" t="s">
        <v>60</v>
      </c>
      <c r="G19" s="32" t="s">
        <v>361</v>
      </c>
      <c r="H19" s="20" t="s">
        <v>23</v>
      </c>
    </row>
    <row r="20" customFormat="false" ht="30" hidden="false" customHeight="true" outlineLevel="0" collapsed="false">
      <c r="A20" s="18" t="s">
        <v>357</v>
      </c>
      <c r="B20" s="18" t="s">
        <v>358</v>
      </c>
      <c r="C20" s="19" t="s">
        <v>364</v>
      </c>
      <c r="D20" s="20" t="s">
        <v>365</v>
      </c>
      <c r="E20" s="21" t="n">
        <v>2</v>
      </c>
      <c r="F20" s="22" t="s">
        <v>60</v>
      </c>
      <c r="G20" s="32" t="s">
        <v>361</v>
      </c>
      <c r="H20" s="20" t="s">
        <v>23</v>
      </c>
    </row>
    <row r="21" customFormat="false" ht="30" hidden="false" customHeight="true" outlineLevel="0" collapsed="false">
      <c r="A21" s="25" t="s">
        <v>357</v>
      </c>
      <c r="B21" s="25" t="s">
        <v>358</v>
      </c>
      <c r="C21" s="26" t="s">
        <v>366</v>
      </c>
      <c r="D21" s="27" t="s">
        <v>367</v>
      </c>
      <c r="E21" s="21" t="n">
        <v>2</v>
      </c>
      <c r="F21" s="22" t="s">
        <v>60</v>
      </c>
      <c r="G21" s="32" t="s">
        <v>361</v>
      </c>
      <c r="H21" s="20" t="s">
        <v>23</v>
      </c>
    </row>
  </sheetData>
  <conditionalFormatting sqref="F2:F21">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21"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8" activeCellId="0" sqref="H8"/>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35" t="s">
        <v>33</v>
      </c>
      <c r="B1" s="35" t="s">
        <v>34</v>
      </c>
      <c r="C1" s="35" t="s">
        <v>35</v>
      </c>
      <c r="D1" s="35" t="s">
        <v>36</v>
      </c>
      <c r="E1" s="35" t="s">
        <v>37</v>
      </c>
      <c r="F1" s="35" t="s">
        <v>38</v>
      </c>
      <c r="G1" s="35" t="s">
        <v>39</v>
      </c>
      <c r="H1" s="35" t="s">
        <v>40</v>
      </c>
    </row>
    <row r="2" customFormat="false" ht="18" hidden="false" customHeight="true" outlineLevel="0" collapsed="false">
      <c r="A2" s="36" t="s">
        <v>368</v>
      </c>
      <c r="B2" s="36" t="s">
        <v>369</v>
      </c>
      <c r="C2" s="36" t="s">
        <v>370</v>
      </c>
      <c r="D2" s="36" t="s">
        <v>370</v>
      </c>
      <c r="E2" s="36" t="s">
        <v>370</v>
      </c>
      <c r="F2" s="17"/>
      <c r="G2" s="36" t="s">
        <v>370</v>
      </c>
      <c r="H2" s="36" t="s">
        <v>370</v>
      </c>
    </row>
    <row r="3" customFormat="false" ht="30" hidden="false" customHeight="true" outlineLevel="0" collapsed="false">
      <c r="A3" s="18" t="s">
        <v>368</v>
      </c>
      <c r="B3" s="18" t="s">
        <v>369</v>
      </c>
      <c r="C3" s="19" t="s">
        <v>371</v>
      </c>
      <c r="D3" s="20" t="s">
        <v>372</v>
      </c>
      <c r="E3" s="37" t="s">
        <v>373</v>
      </c>
      <c r="F3" s="22" t="s">
        <v>45</v>
      </c>
      <c r="G3" s="20" t="s">
        <v>374</v>
      </c>
      <c r="H3" s="20" t="s">
        <v>375</v>
      </c>
    </row>
    <row r="4" customFormat="false" ht="18" hidden="false" customHeight="true" outlineLevel="0" collapsed="false">
      <c r="A4" s="36" t="s">
        <v>376</v>
      </c>
      <c r="B4" s="36" t="s">
        <v>377</v>
      </c>
      <c r="C4" s="36" t="s">
        <v>370</v>
      </c>
      <c r="D4" s="36" t="s">
        <v>370</v>
      </c>
      <c r="E4" s="36" t="s">
        <v>370</v>
      </c>
      <c r="F4" s="17"/>
      <c r="G4" s="36" t="s">
        <v>370</v>
      </c>
      <c r="H4" s="36" t="s">
        <v>370</v>
      </c>
    </row>
    <row r="5" customFormat="false" ht="30" hidden="false" customHeight="true" outlineLevel="0" collapsed="false">
      <c r="A5" s="18" t="s">
        <v>376</v>
      </c>
      <c r="B5" s="18" t="s">
        <v>377</v>
      </c>
      <c r="C5" s="19" t="s">
        <v>378</v>
      </c>
      <c r="D5" s="20" t="s">
        <v>379</v>
      </c>
      <c r="E5" s="38" t="s">
        <v>380</v>
      </c>
      <c r="F5" s="22" t="s">
        <v>45</v>
      </c>
      <c r="G5" s="20" t="s">
        <v>381</v>
      </c>
      <c r="H5" s="20" t="s">
        <v>382</v>
      </c>
    </row>
    <row r="6" customFormat="false" ht="30" hidden="false" customHeight="true" outlineLevel="0" collapsed="false">
      <c r="A6" s="25" t="s">
        <v>376</v>
      </c>
      <c r="B6" s="25" t="s">
        <v>377</v>
      </c>
      <c r="C6" s="26" t="s">
        <v>383</v>
      </c>
      <c r="D6" s="27" t="s">
        <v>384</v>
      </c>
      <c r="E6" s="38" t="s">
        <v>380</v>
      </c>
      <c r="F6" s="22" t="s">
        <v>45</v>
      </c>
      <c r="G6" s="27" t="s">
        <v>385</v>
      </c>
      <c r="H6" s="27" t="s">
        <v>386</v>
      </c>
    </row>
    <row r="7" customFormat="false" ht="30" hidden="false" customHeight="true" outlineLevel="0" collapsed="false">
      <c r="A7" s="18" t="s">
        <v>376</v>
      </c>
      <c r="B7" s="18" t="s">
        <v>377</v>
      </c>
      <c r="C7" s="19" t="s">
        <v>387</v>
      </c>
      <c r="D7" s="20" t="s">
        <v>388</v>
      </c>
      <c r="E7" s="37" t="s">
        <v>373</v>
      </c>
      <c r="F7" s="22" t="s">
        <v>60</v>
      </c>
      <c r="G7" s="20" t="s">
        <v>389</v>
      </c>
      <c r="H7" s="20" t="s">
        <v>23</v>
      </c>
    </row>
    <row r="8" customFormat="false" ht="30" hidden="false" customHeight="true" outlineLevel="0" collapsed="false">
      <c r="A8" s="25" t="s">
        <v>376</v>
      </c>
      <c r="B8" s="25" t="s">
        <v>377</v>
      </c>
      <c r="C8" s="26" t="s">
        <v>390</v>
      </c>
      <c r="D8" s="27" t="s">
        <v>391</v>
      </c>
      <c r="E8" s="39" t="s">
        <v>392</v>
      </c>
      <c r="F8" s="22" t="s">
        <v>45</v>
      </c>
      <c r="G8" s="27" t="s">
        <v>393</v>
      </c>
      <c r="H8" s="27" t="s">
        <v>394</v>
      </c>
    </row>
    <row r="9" customFormat="false" ht="30" hidden="false" customHeight="true" outlineLevel="0" collapsed="false">
      <c r="A9" s="18" t="s">
        <v>376</v>
      </c>
      <c r="B9" s="18" t="s">
        <v>377</v>
      </c>
      <c r="C9" s="19" t="s">
        <v>395</v>
      </c>
      <c r="D9" s="20" t="s">
        <v>396</v>
      </c>
      <c r="E9" s="39" t="s">
        <v>392</v>
      </c>
      <c r="F9" s="22" t="s">
        <v>60</v>
      </c>
      <c r="G9" s="20" t="s">
        <v>397</v>
      </c>
      <c r="H9" s="20" t="s">
        <v>23</v>
      </c>
    </row>
    <row r="10" customFormat="false" ht="30" hidden="false" customHeight="true" outlineLevel="0" collapsed="false">
      <c r="A10" s="25" t="s">
        <v>376</v>
      </c>
      <c r="B10" s="25" t="s">
        <v>377</v>
      </c>
      <c r="C10" s="26" t="s">
        <v>398</v>
      </c>
      <c r="D10" s="27" t="s">
        <v>399</v>
      </c>
      <c r="E10" s="39" t="s">
        <v>392</v>
      </c>
      <c r="F10" s="22" t="s">
        <v>400</v>
      </c>
      <c r="G10" s="27" t="s">
        <v>401</v>
      </c>
      <c r="H10" s="27" t="s">
        <v>402</v>
      </c>
    </row>
    <row r="11" customFormat="false" ht="18" hidden="false" customHeight="true" outlineLevel="0" collapsed="false">
      <c r="A11" s="36" t="s">
        <v>403</v>
      </c>
      <c r="B11" s="36" t="s">
        <v>404</v>
      </c>
      <c r="C11" s="36" t="s">
        <v>370</v>
      </c>
      <c r="D11" s="36" t="s">
        <v>370</v>
      </c>
      <c r="E11" s="36" t="s">
        <v>370</v>
      </c>
      <c r="F11" s="17"/>
      <c r="G11" s="36" t="s">
        <v>370</v>
      </c>
      <c r="H11" s="36" t="s">
        <v>370</v>
      </c>
    </row>
    <row r="12" customFormat="false" ht="30" hidden="false" customHeight="true" outlineLevel="0" collapsed="false">
      <c r="A12" s="18" t="s">
        <v>403</v>
      </c>
      <c r="B12" s="18" t="s">
        <v>404</v>
      </c>
      <c r="C12" s="19" t="s">
        <v>405</v>
      </c>
      <c r="D12" s="20" t="s">
        <v>406</v>
      </c>
      <c r="E12" s="38" t="s">
        <v>380</v>
      </c>
      <c r="F12" s="22" t="s">
        <v>45</v>
      </c>
      <c r="G12" s="20" t="s">
        <v>407</v>
      </c>
      <c r="H12" s="20" t="s">
        <v>408</v>
      </c>
    </row>
    <row r="13" customFormat="false" ht="30" hidden="false" customHeight="true" outlineLevel="0" collapsed="false">
      <c r="A13" s="25" t="s">
        <v>403</v>
      </c>
      <c r="B13" s="25" t="s">
        <v>404</v>
      </c>
      <c r="C13" s="26" t="s">
        <v>409</v>
      </c>
      <c r="D13" s="27" t="s">
        <v>410</v>
      </c>
      <c r="E13" s="38" t="s">
        <v>380</v>
      </c>
      <c r="F13" s="22" t="s">
        <v>45</v>
      </c>
      <c r="G13" s="27" t="s">
        <v>411</v>
      </c>
      <c r="H13" s="27" t="s">
        <v>412</v>
      </c>
    </row>
    <row r="14" customFormat="false" ht="30" hidden="false" customHeight="true" outlineLevel="0" collapsed="false">
      <c r="A14" s="18" t="s">
        <v>403</v>
      </c>
      <c r="B14" s="18" t="s">
        <v>404</v>
      </c>
      <c r="C14" s="19" t="s">
        <v>413</v>
      </c>
      <c r="D14" s="20" t="s">
        <v>414</v>
      </c>
      <c r="E14" s="39" t="s">
        <v>392</v>
      </c>
      <c r="F14" s="22" t="s">
        <v>60</v>
      </c>
      <c r="G14" s="20" t="s">
        <v>415</v>
      </c>
      <c r="H14" s="20" t="s">
        <v>23</v>
      </c>
    </row>
    <row r="15" customFormat="false" ht="18" hidden="false" customHeight="true" outlineLevel="0" collapsed="false">
      <c r="A15" s="36" t="s">
        <v>416</v>
      </c>
      <c r="B15" s="36" t="s">
        <v>417</v>
      </c>
      <c r="C15" s="36" t="s">
        <v>370</v>
      </c>
      <c r="D15" s="36" t="s">
        <v>370</v>
      </c>
      <c r="E15" s="36" t="s">
        <v>370</v>
      </c>
      <c r="F15" s="17"/>
      <c r="G15" s="36" t="s">
        <v>370</v>
      </c>
      <c r="H15" s="36" t="s">
        <v>370</v>
      </c>
    </row>
    <row r="16" customFormat="false" ht="30" hidden="false" customHeight="true" outlineLevel="0" collapsed="false">
      <c r="A16" s="18" t="s">
        <v>416</v>
      </c>
      <c r="B16" s="18" t="s">
        <v>417</v>
      </c>
      <c r="C16" s="19" t="s">
        <v>418</v>
      </c>
      <c r="D16" s="20" t="s">
        <v>419</v>
      </c>
      <c r="E16" s="37" t="s">
        <v>373</v>
      </c>
      <c r="F16" s="22" t="s">
        <v>45</v>
      </c>
      <c r="G16" s="20" t="s">
        <v>420</v>
      </c>
      <c r="H16" s="20" t="s">
        <v>421</v>
      </c>
    </row>
    <row r="17" customFormat="false" ht="30" hidden="false" customHeight="true" outlineLevel="0" collapsed="false">
      <c r="A17" s="25" t="s">
        <v>416</v>
      </c>
      <c r="B17" s="25" t="s">
        <v>417</v>
      </c>
      <c r="C17" s="26" t="s">
        <v>422</v>
      </c>
      <c r="D17" s="27" t="s">
        <v>423</v>
      </c>
      <c r="E17" s="37" t="s">
        <v>373</v>
      </c>
      <c r="F17" s="22" t="s">
        <v>205</v>
      </c>
      <c r="G17" s="27" t="s">
        <v>424</v>
      </c>
      <c r="H17" s="27" t="s">
        <v>421</v>
      </c>
    </row>
    <row r="18" customFormat="false" ht="30" hidden="false" customHeight="true" outlineLevel="0" collapsed="false">
      <c r="A18" s="18" t="s">
        <v>416</v>
      </c>
      <c r="B18" s="18" t="s">
        <v>417</v>
      </c>
      <c r="C18" s="19" t="s">
        <v>425</v>
      </c>
      <c r="D18" s="20" t="s">
        <v>426</v>
      </c>
      <c r="E18" s="37" t="s">
        <v>373</v>
      </c>
      <c r="F18" s="22" t="s">
        <v>400</v>
      </c>
      <c r="G18" s="20" t="s">
        <v>427</v>
      </c>
      <c r="H18" s="20" t="s">
        <v>428</v>
      </c>
    </row>
  </sheetData>
  <conditionalFormatting sqref="F2:F18">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18"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7" activePane="bottomLeft" state="frozen"/>
      <selection pane="topLeft" activeCell="A1" activeCellId="0" sqref="A1"/>
      <selection pane="bottomLeft" activeCell="L26" activeCellId="0" sqref="L26"/>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429</v>
      </c>
      <c r="B2" s="17" t="s">
        <v>430</v>
      </c>
      <c r="C2" s="17"/>
      <c r="D2" s="17"/>
      <c r="E2" s="17"/>
      <c r="F2" s="17"/>
      <c r="G2" s="17"/>
      <c r="H2" s="17"/>
    </row>
    <row r="3" customFormat="false" ht="30" hidden="false" customHeight="true" outlineLevel="0" collapsed="false">
      <c r="A3" s="18" t="s">
        <v>429</v>
      </c>
      <c r="B3" s="18" t="s">
        <v>430</v>
      </c>
      <c r="C3" s="19" t="s">
        <v>431</v>
      </c>
      <c r="D3" s="20" t="s">
        <v>432</v>
      </c>
      <c r="E3" s="30" t="n">
        <v>1</v>
      </c>
      <c r="F3" s="22" t="s">
        <v>45</v>
      </c>
      <c r="G3" s="20" t="s">
        <v>433</v>
      </c>
      <c r="H3" s="20" t="s">
        <v>434</v>
      </c>
    </row>
    <row r="4" customFormat="false" ht="30" hidden="false" customHeight="true" outlineLevel="0" collapsed="false">
      <c r="A4" s="25" t="s">
        <v>429</v>
      </c>
      <c r="B4" s="25" t="s">
        <v>430</v>
      </c>
      <c r="C4" s="26" t="s">
        <v>435</v>
      </c>
      <c r="D4" s="27" t="s">
        <v>436</v>
      </c>
      <c r="E4" s="21" t="n">
        <v>2</v>
      </c>
      <c r="F4" s="22" t="s">
        <v>45</v>
      </c>
      <c r="G4" s="27" t="s">
        <v>437</v>
      </c>
      <c r="H4" s="27" t="s">
        <v>438</v>
      </c>
    </row>
    <row r="5" customFormat="false" ht="30" hidden="false" customHeight="true" outlineLevel="0" collapsed="false">
      <c r="A5" s="18" t="s">
        <v>429</v>
      </c>
      <c r="B5" s="18" t="s">
        <v>430</v>
      </c>
      <c r="C5" s="19" t="s">
        <v>439</v>
      </c>
      <c r="D5" s="20" t="s">
        <v>440</v>
      </c>
      <c r="E5" s="21" t="n">
        <v>2</v>
      </c>
      <c r="F5" s="22" t="s">
        <v>45</v>
      </c>
      <c r="G5" s="20" t="s">
        <v>441</v>
      </c>
      <c r="H5" s="20" t="s">
        <v>442</v>
      </c>
    </row>
    <row r="6" customFormat="false" ht="18" hidden="false" customHeight="true" outlineLevel="0" collapsed="false">
      <c r="A6" s="17" t="s">
        <v>443</v>
      </c>
      <c r="B6" s="17" t="s">
        <v>444</v>
      </c>
      <c r="C6" s="17"/>
      <c r="D6" s="17"/>
      <c r="E6" s="17"/>
      <c r="F6" s="17"/>
      <c r="G6" s="17"/>
      <c r="H6" s="17"/>
    </row>
    <row r="7" customFormat="false" ht="30" hidden="false" customHeight="true" outlineLevel="0" collapsed="false">
      <c r="A7" s="18" t="s">
        <v>443</v>
      </c>
      <c r="B7" s="18" t="s">
        <v>444</v>
      </c>
      <c r="C7" s="19" t="s">
        <v>445</v>
      </c>
      <c r="D7" s="20" t="s">
        <v>446</v>
      </c>
      <c r="E7" s="30" t="n">
        <v>1</v>
      </c>
      <c r="F7" s="22" t="s">
        <v>400</v>
      </c>
      <c r="G7" s="32" t="s">
        <v>447</v>
      </c>
      <c r="H7" s="32" t="s">
        <v>448</v>
      </c>
    </row>
    <row r="8" customFormat="false" ht="30" hidden="false" customHeight="true" outlineLevel="0" collapsed="false">
      <c r="A8" s="25" t="s">
        <v>443</v>
      </c>
      <c r="B8" s="25" t="s">
        <v>444</v>
      </c>
      <c r="C8" s="26" t="s">
        <v>449</v>
      </c>
      <c r="D8" s="27" t="s">
        <v>450</v>
      </c>
      <c r="E8" s="30" t="n">
        <v>1</v>
      </c>
      <c r="F8" s="22" t="s">
        <v>400</v>
      </c>
      <c r="G8" s="32" t="s">
        <v>451</v>
      </c>
      <c r="H8" s="32" t="s">
        <v>452</v>
      </c>
    </row>
    <row r="9" customFormat="false" ht="30" hidden="false" customHeight="true" outlineLevel="0" collapsed="false">
      <c r="A9" s="18" t="s">
        <v>443</v>
      </c>
      <c r="B9" s="18" t="s">
        <v>444</v>
      </c>
      <c r="C9" s="19" t="s">
        <v>453</v>
      </c>
      <c r="D9" s="20" t="s">
        <v>454</v>
      </c>
      <c r="E9" s="30" t="n">
        <v>1</v>
      </c>
      <c r="F9" s="22" t="s">
        <v>400</v>
      </c>
      <c r="G9" s="32" t="s">
        <v>455</v>
      </c>
      <c r="H9" s="32" t="s">
        <v>456</v>
      </c>
    </row>
    <row r="10" customFormat="false" ht="30" hidden="false" customHeight="true" outlineLevel="0" collapsed="false">
      <c r="A10" s="25" t="s">
        <v>443</v>
      </c>
      <c r="B10" s="25" t="s">
        <v>444</v>
      </c>
      <c r="C10" s="26" t="s">
        <v>457</v>
      </c>
      <c r="D10" s="27" t="s">
        <v>458</v>
      </c>
      <c r="E10" s="30" t="n">
        <v>1</v>
      </c>
      <c r="F10" s="22" t="s">
        <v>45</v>
      </c>
      <c r="G10" s="27" t="s">
        <v>459</v>
      </c>
      <c r="H10" s="27" t="s">
        <v>460</v>
      </c>
    </row>
    <row r="11" customFormat="false" ht="30" hidden="false" customHeight="true" outlineLevel="0" collapsed="false">
      <c r="A11" s="18" t="s">
        <v>443</v>
      </c>
      <c r="B11" s="18" t="s">
        <v>444</v>
      </c>
      <c r="C11" s="19" t="s">
        <v>461</v>
      </c>
      <c r="D11" s="20" t="s">
        <v>462</v>
      </c>
      <c r="E11" s="30" t="n">
        <v>1</v>
      </c>
      <c r="F11" s="22" t="s">
        <v>400</v>
      </c>
      <c r="G11" s="32" t="s">
        <v>463</v>
      </c>
      <c r="H11" s="32" t="s">
        <v>178</v>
      </c>
    </row>
    <row r="12" customFormat="false" ht="30" hidden="false" customHeight="true" outlineLevel="0" collapsed="false">
      <c r="A12" s="25" t="s">
        <v>443</v>
      </c>
      <c r="B12" s="25" t="s">
        <v>444</v>
      </c>
      <c r="C12" s="26" t="s">
        <v>464</v>
      </c>
      <c r="D12" s="27" t="s">
        <v>465</v>
      </c>
      <c r="E12" s="30" t="n">
        <v>1</v>
      </c>
      <c r="F12" s="22" t="s">
        <v>60</v>
      </c>
      <c r="G12" s="27" t="s">
        <v>466</v>
      </c>
      <c r="H12" s="27" t="s">
        <v>23</v>
      </c>
    </row>
    <row r="13" customFormat="false" ht="30" hidden="false" customHeight="true" outlineLevel="0" collapsed="false">
      <c r="A13" s="18" t="s">
        <v>443</v>
      </c>
      <c r="B13" s="18" t="s">
        <v>444</v>
      </c>
      <c r="C13" s="19" t="s">
        <v>467</v>
      </c>
      <c r="D13" s="20" t="s">
        <v>468</v>
      </c>
      <c r="E13" s="30" t="n">
        <v>1</v>
      </c>
      <c r="F13" s="22" t="s">
        <v>60</v>
      </c>
      <c r="G13" s="27" t="s">
        <v>466</v>
      </c>
      <c r="H13" s="27" t="s">
        <v>23</v>
      </c>
    </row>
    <row r="14" customFormat="false" ht="30" hidden="false" customHeight="true" outlineLevel="0" collapsed="false">
      <c r="A14" s="25" t="s">
        <v>443</v>
      </c>
      <c r="B14" s="25" t="s">
        <v>444</v>
      </c>
      <c r="C14" s="26" t="s">
        <v>469</v>
      </c>
      <c r="D14" s="27" t="s">
        <v>470</v>
      </c>
      <c r="E14" s="30" t="n">
        <v>1</v>
      </c>
      <c r="F14" s="22" t="s">
        <v>45</v>
      </c>
      <c r="G14" s="27" t="s">
        <v>471</v>
      </c>
      <c r="H14" s="27" t="s">
        <v>448</v>
      </c>
    </row>
    <row r="15" customFormat="false" ht="30" hidden="false" customHeight="true" outlineLevel="0" collapsed="false">
      <c r="A15" s="18" t="s">
        <v>443</v>
      </c>
      <c r="B15" s="18" t="s">
        <v>444</v>
      </c>
      <c r="C15" s="19" t="s">
        <v>472</v>
      </c>
      <c r="D15" s="20" t="s">
        <v>473</v>
      </c>
      <c r="E15" s="21" t="n">
        <v>2</v>
      </c>
      <c r="F15" s="22" t="s">
        <v>45</v>
      </c>
      <c r="G15" s="20" t="s">
        <v>474</v>
      </c>
      <c r="H15" s="20" t="s">
        <v>448</v>
      </c>
    </row>
    <row r="16" customFormat="false" ht="30" hidden="false" customHeight="true" outlineLevel="0" collapsed="false">
      <c r="A16" s="25" t="s">
        <v>443</v>
      </c>
      <c r="B16" s="25" t="s">
        <v>444</v>
      </c>
      <c r="C16" s="26" t="s">
        <v>475</v>
      </c>
      <c r="D16" s="27" t="s">
        <v>476</v>
      </c>
      <c r="E16" s="21" t="n">
        <v>2</v>
      </c>
      <c r="F16" s="22" t="s">
        <v>45</v>
      </c>
      <c r="G16" s="27" t="s">
        <v>477</v>
      </c>
      <c r="H16" s="27"/>
    </row>
    <row r="17" customFormat="false" ht="30" hidden="false" customHeight="true" outlineLevel="0" collapsed="false">
      <c r="A17" s="18" t="s">
        <v>443</v>
      </c>
      <c r="B17" s="18" t="s">
        <v>444</v>
      </c>
      <c r="C17" s="19" t="s">
        <v>478</v>
      </c>
      <c r="D17" s="20" t="s">
        <v>479</v>
      </c>
      <c r="E17" s="21" t="n">
        <v>2</v>
      </c>
      <c r="F17" s="22" t="s">
        <v>400</v>
      </c>
      <c r="G17" s="20" t="s">
        <v>480</v>
      </c>
      <c r="H17" s="20"/>
    </row>
    <row r="18" customFormat="false" ht="30" hidden="false" customHeight="true" outlineLevel="0" collapsed="false">
      <c r="A18" s="25" t="s">
        <v>443</v>
      </c>
      <c r="B18" s="25" t="s">
        <v>444</v>
      </c>
      <c r="C18" s="26" t="s">
        <v>481</v>
      </c>
      <c r="D18" s="27" t="s">
        <v>482</v>
      </c>
      <c r="E18" s="21" t="n">
        <v>2</v>
      </c>
      <c r="F18" s="22" t="s">
        <v>400</v>
      </c>
      <c r="G18" s="27" t="s">
        <v>483</v>
      </c>
      <c r="H18" s="27"/>
    </row>
    <row r="19" customFormat="false" ht="18" hidden="false" customHeight="true" outlineLevel="0" collapsed="false">
      <c r="A19" s="17" t="s">
        <v>484</v>
      </c>
      <c r="B19" s="17" t="s">
        <v>485</v>
      </c>
      <c r="C19" s="17"/>
      <c r="D19" s="17"/>
      <c r="E19" s="17"/>
      <c r="F19" s="17"/>
      <c r="G19" s="17"/>
      <c r="H19" s="17"/>
    </row>
    <row r="20" customFormat="false" ht="30" hidden="false" customHeight="true" outlineLevel="0" collapsed="false">
      <c r="A20" s="18" t="s">
        <v>484</v>
      </c>
      <c r="B20" s="18" t="s">
        <v>485</v>
      </c>
      <c r="C20" s="19" t="s">
        <v>486</v>
      </c>
      <c r="D20" s="20" t="s">
        <v>487</v>
      </c>
      <c r="E20" s="30" t="n">
        <v>1</v>
      </c>
      <c r="F20" s="22" t="s">
        <v>45</v>
      </c>
      <c r="G20" s="20" t="s">
        <v>488</v>
      </c>
      <c r="H20" s="40" t="s">
        <v>489</v>
      </c>
    </row>
    <row r="21" customFormat="false" ht="30" hidden="false" customHeight="true" outlineLevel="0" collapsed="false">
      <c r="A21" s="25" t="s">
        <v>484</v>
      </c>
      <c r="B21" s="25" t="s">
        <v>485</v>
      </c>
      <c r="C21" s="26" t="s">
        <v>490</v>
      </c>
      <c r="D21" s="27" t="s">
        <v>491</v>
      </c>
      <c r="E21" s="30" t="n">
        <v>1</v>
      </c>
      <c r="F21" s="22" t="s">
        <v>400</v>
      </c>
      <c r="G21" s="27" t="s">
        <v>492</v>
      </c>
      <c r="H21" s="27" t="s">
        <v>493</v>
      </c>
    </row>
    <row r="22" customFormat="false" ht="30" hidden="false" customHeight="true" outlineLevel="0" collapsed="false">
      <c r="A22" s="18" t="s">
        <v>484</v>
      </c>
      <c r="B22" s="18" t="s">
        <v>485</v>
      </c>
      <c r="C22" s="19" t="s">
        <v>494</v>
      </c>
      <c r="D22" s="20" t="s">
        <v>495</v>
      </c>
      <c r="E22" s="21" t="n">
        <v>2</v>
      </c>
      <c r="F22" s="22" t="s">
        <v>400</v>
      </c>
      <c r="G22" s="20" t="s">
        <v>496</v>
      </c>
      <c r="H22" s="20"/>
    </row>
    <row r="23" customFormat="false" ht="30" hidden="false" customHeight="true" outlineLevel="0" collapsed="false">
      <c r="A23" s="25" t="s">
        <v>484</v>
      </c>
      <c r="B23" s="25" t="s">
        <v>485</v>
      </c>
      <c r="C23" s="26" t="s">
        <v>497</v>
      </c>
      <c r="D23" s="27" t="s">
        <v>498</v>
      </c>
      <c r="E23" s="21" t="n">
        <v>2</v>
      </c>
      <c r="F23" s="22" t="s">
        <v>45</v>
      </c>
      <c r="G23" s="27" t="s">
        <v>499</v>
      </c>
      <c r="H23" s="27" t="s">
        <v>500</v>
      </c>
    </row>
    <row r="24" customFormat="false" ht="30" hidden="false" customHeight="true" outlineLevel="0" collapsed="false">
      <c r="A24" s="18" t="s">
        <v>484</v>
      </c>
      <c r="B24" s="18" t="s">
        <v>485</v>
      </c>
      <c r="C24" s="19" t="s">
        <v>501</v>
      </c>
      <c r="D24" s="20" t="s">
        <v>502</v>
      </c>
      <c r="E24" s="31" t="n">
        <v>3</v>
      </c>
      <c r="F24" s="22" t="s">
        <v>400</v>
      </c>
      <c r="G24" s="20" t="s">
        <v>503</v>
      </c>
      <c r="H24" s="20"/>
    </row>
    <row r="25" customFormat="false" ht="30" hidden="false" customHeight="true" outlineLevel="0" collapsed="false">
      <c r="A25" s="25" t="s">
        <v>484</v>
      </c>
      <c r="B25" s="25" t="s">
        <v>485</v>
      </c>
      <c r="C25" s="26" t="s">
        <v>504</v>
      </c>
      <c r="D25" s="27" t="s">
        <v>505</v>
      </c>
      <c r="E25" s="31" t="n">
        <v>3</v>
      </c>
      <c r="F25" s="22" t="s">
        <v>45</v>
      </c>
      <c r="G25" s="27" t="s">
        <v>506</v>
      </c>
      <c r="H25" s="27" t="s">
        <v>448</v>
      </c>
    </row>
    <row r="26" customFormat="false" ht="30" hidden="false" customHeight="true" outlineLevel="0" collapsed="false">
      <c r="A26" s="18" t="s">
        <v>484</v>
      </c>
      <c r="B26" s="18" t="s">
        <v>485</v>
      </c>
      <c r="C26" s="19" t="s">
        <v>507</v>
      </c>
      <c r="D26" s="20" t="s">
        <v>508</v>
      </c>
      <c r="E26" s="31" t="n">
        <v>3</v>
      </c>
      <c r="F26" s="22" t="s">
        <v>60</v>
      </c>
      <c r="G26" s="20" t="s">
        <v>509</v>
      </c>
      <c r="H26" s="20"/>
    </row>
    <row r="27" customFormat="false" ht="30" hidden="false" customHeight="true" outlineLevel="0" collapsed="false">
      <c r="A27" s="25" t="s">
        <v>484</v>
      </c>
      <c r="B27" s="25" t="s">
        <v>485</v>
      </c>
      <c r="C27" s="26" t="s">
        <v>510</v>
      </c>
      <c r="D27" s="27" t="s">
        <v>511</v>
      </c>
      <c r="E27" s="31" t="n">
        <v>3</v>
      </c>
      <c r="F27" s="22" t="s">
        <v>400</v>
      </c>
      <c r="G27" s="27" t="s">
        <v>512</v>
      </c>
      <c r="H27" s="27" t="s">
        <v>448</v>
      </c>
    </row>
    <row r="28" customFormat="false" ht="18" hidden="false" customHeight="true" outlineLevel="0" collapsed="false">
      <c r="A28" s="17" t="s">
        <v>513</v>
      </c>
      <c r="B28" s="17" t="s">
        <v>514</v>
      </c>
      <c r="C28" s="17"/>
      <c r="D28" s="17"/>
      <c r="E28" s="17"/>
      <c r="F28" s="17"/>
      <c r="G28" s="17"/>
      <c r="H28" s="17"/>
    </row>
    <row r="29" customFormat="false" ht="30" hidden="false" customHeight="true" outlineLevel="0" collapsed="false">
      <c r="A29" s="18" t="s">
        <v>513</v>
      </c>
      <c r="B29" s="18" t="s">
        <v>514</v>
      </c>
      <c r="C29" s="19" t="s">
        <v>515</v>
      </c>
      <c r="D29" s="20" t="s">
        <v>516</v>
      </c>
      <c r="E29" s="30" t="n">
        <v>1</v>
      </c>
      <c r="F29" s="22" t="s">
        <v>400</v>
      </c>
      <c r="G29" s="20" t="s">
        <v>517</v>
      </c>
      <c r="H29" s="20" t="s">
        <v>493</v>
      </c>
    </row>
    <row r="30" customFormat="false" ht="30" hidden="false" customHeight="true" outlineLevel="0" collapsed="false">
      <c r="A30" s="25" t="s">
        <v>513</v>
      </c>
      <c r="B30" s="25" t="s">
        <v>514</v>
      </c>
      <c r="C30" s="26" t="s">
        <v>518</v>
      </c>
      <c r="D30" s="27" t="s">
        <v>519</v>
      </c>
      <c r="E30" s="30" t="n">
        <v>1</v>
      </c>
      <c r="F30" s="22" t="s">
        <v>45</v>
      </c>
      <c r="G30" s="27" t="s">
        <v>520</v>
      </c>
      <c r="H30" s="27"/>
    </row>
    <row r="31" customFormat="false" ht="30" hidden="false" customHeight="true" outlineLevel="0" collapsed="false">
      <c r="A31" s="18" t="s">
        <v>513</v>
      </c>
      <c r="B31" s="18" t="s">
        <v>514</v>
      </c>
      <c r="C31" s="19" t="s">
        <v>521</v>
      </c>
      <c r="D31" s="20" t="s">
        <v>522</v>
      </c>
      <c r="E31" s="21" t="n">
        <v>2</v>
      </c>
      <c r="F31" s="22" t="s">
        <v>400</v>
      </c>
      <c r="G31" s="41" t="s">
        <v>523</v>
      </c>
      <c r="H31" s="20" t="s">
        <v>452</v>
      </c>
    </row>
    <row r="32" customFormat="false" ht="30" hidden="false" customHeight="true" outlineLevel="0" collapsed="false">
      <c r="A32" s="25" t="s">
        <v>513</v>
      </c>
      <c r="B32" s="25" t="s">
        <v>514</v>
      </c>
      <c r="C32" s="26" t="s">
        <v>524</v>
      </c>
      <c r="D32" s="27" t="s">
        <v>525</v>
      </c>
      <c r="E32" s="21" t="n">
        <v>2</v>
      </c>
      <c r="F32" s="22" t="s">
        <v>60</v>
      </c>
      <c r="G32" s="27" t="s">
        <v>526</v>
      </c>
      <c r="H32" s="27" t="s">
        <v>23</v>
      </c>
    </row>
    <row r="33" customFormat="false" ht="30" hidden="false" customHeight="true" outlineLevel="0" collapsed="false">
      <c r="A33" s="18" t="s">
        <v>513</v>
      </c>
      <c r="B33" s="18" t="s">
        <v>514</v>
      </c>
      <c r="C33" s="19" t="s">
        <v>527</v>
      </c>
      <c r="D33" s="20" t="s">
        <v>528</v>
      </c>
      <c r="E33" s="31" t="n">
        <v>3</v>
      </c>
      <c r="F33" s="22" t="s">
        <v>60</v>
      </c>
      <c r="G33" s="32" t="s">
        <v>529</v>
      </c>
      <c r="H33" s="27" t="s">
        <v>23</v>
      </c>
    </row>
    <row r="34" customFormat="false" ht="30" hidden="false" customHeight="true" outlineLevel="0" collapsed="false">
      <c r="A34" s="25" t="s">
        <v>513</v>
      </c>
      <c r="B34" s="25" t="s">
        <v>514</v>
      </c>
      <c r="C34" s="26" t="s">
        <v>530</v>
      </c>
      <c r="D34" s="27" t="s">
        <v>531</v>
      </c>
      <c r="E34" s="31" t="n">
        <v>3</v>
      </c>
      <c r="F34" s="22" t="s">
        <v>60</v>
      </c>
      <c r="G34" s="27" t="s">
        <v>532</v>
      </c>
      <c r="H34" s="27"/>
    </row>
    <row r="35" customFormat="false" ht="18" hidden="false" customHeight="true" outlineLevel="0" collapsed="false">
      <c r="A35" s="17" t="s">
        <v>533</v>
      </c>
      <c r="B35" s="17" t="s">
        <v>534</v>
      </c>
      <c r="C35" s="17"/>
      <c r="D35" s="17"/>
      <c r="E35" s="17"/>
      <c r="F35" s="17"/>
      <c r="G35" s="17"/>
      <c r="H35" s="17"/>
    </row>
    <row r="36" customFormat="false" ht="30" hidden="false" customHeight="true" outlineLevel="0" collapsed="false">
      <c r="A36" s="18" t="s">
        <v>533</v>
      </c>
      <c r="B36" s="18" t="s">
        <v>534</v>
      </c>
      <c r="C36" s="19" t="s">
        <v>535</v>
      </c>
      <c r="D36" s="20" t="s">
        <v>536</v>
      </c>
      <c r="E36" s="21" t="n">
        <v>2</v>
      </c>
      <c r="F36" s="22" t="s">
        <v>60</v>
      </c>
      <c r="G36" s="20" t="s">
        <v>537</v>
      </c>
      <c r="H36" s="27" t="s">
        <v>23</v>
      </c>
    </row>
    <row r="37" customFormat="false" ht="30" hidden="false" customHeight="true" outlineLevel="0" collapsed="false">
      <c r="A37" s="25" t="s">
        <v>533</v>
      </c>
      <c r="B37" s="25" t="s">
        <v>534</v>
      </c>
      <c r="C37" s="26" t="s">
        <v>538</v>
      </c>
      <c r="D37" s="27" t="s">
        <v>539</v>
      </c>
      <c r="E37" s="21" t="n">
        <v>2</v>
      </c>
      <c r="F37" s="22" t="s">
        <v>60</v>
      </c>
      <c r="G37" s="27" t="s">
        <v>540</v>
      </c>
      <c r="H37" s="27" t="s">
        <v>23</v>
      </c>
    </row>
    <row r="38" customFormat="false" ht="30" hidden="false" customHeight="true" outlineLevel="0" collapsed="false">
      <c r="A38" s="18" t="s">
        <v>533</v>
      </c>
      <c r="B38" s="18" t="s">
        <v>534</v>
      </c>
      <c r="C38" s="19" t="s">
        <v>541</v>
      </c>
      <c r="D38" s="20" t="s">
        <v>542</v>
      </c>
      <c r="E38" s="21" t="n">
        <v>2</v>
      </c>
      <c r="F38" s="22" t="s">
        <v>60</v>
      </c>
      <c r="G38" s="20" t="s">
        <v>543</v>
      </c>
      <c r="H38" s="27" t="s">
        <v>23</v>
      </c>
    </row>
    <row r="39" customFormat="false" ht="30" hidden="false" customHeight="true" outlineLevel="0" collapsed="false">
      <c r="A39" s="25" t="s">
        <v>533</v>
      </c>
      <c r="B39" s="25" t="s">
        <v>534</v>
      </c>
      <c r="C39" s="26" t="s">
        <v>544</v>
      </c>
      <c r="D39" s="27" t="s">
        <v>545</v>
      </c>
      <c r="E39" s="21" t="n">
        <v>2</v>
      </c>
      <c r="F39" s="22" t="s">
        <v>60</v>
      </c>
      <c r="G39" s="27" t="s">
        <v>546</v>
      </c>
      <c r="H39" s="27" t="s">
        <v>23</v>
      </c>
    </row>
    <row r="40" customFormat="false" ht="30" hidden="false" customHeight="true" outlineLevel="0" collapsed="false">
      <c r="A40" s="18" t="s">
        <v>533</v>
      </c>
      <c r="B40" s="18" t="s">
        <v>534</v>
      </c>
      <c r="C40" s="19" t="s">
        <v>547</v>
      </c>
      <c r="D40" s="20" t="s">
        <v>548</v>
      </c>
      <c r="E40" s="21" t="n">
        <v>2</v>
      </c>
      <c r="F40" s="22" t="s">
        <v>60</v>
      </c>
      <c r="G40" s="20" t="s">
        <v>549</v>
      </c>
      <c r="H40" s="27" t="s">
        <v>23</v>
      </c>
    </row>
    <row r="41" customFormat="false" ht="30" hidden="false" customHeight="true" outlineLevel="0" collapsed="false">
      <c r="A41" s="25" t="s">
        <v>533</v>
      </c>
      <c r="B41" s="25" t="s">
        <v>534</v>
      </c>
      <c r="C41" s="26" t="s">
        <v>550</v>
      </c>
      <c r="D41" s="27" t="s">
        <v>551</v>
      </c>
      <c r="E41" s="31" t="n">
        <v>3</v>
      </c>
      <c r="F41" s="22" t="s">
        <v>60</v>
      </c>
      <c r="G41" s="27" t="s">
        <v>552</v>
      </c>
      <c r="H41" s="27" t="s">
        <v>23</v>
      </c>
    </row>
    <row r="42" customFormat="false" ht="30" hidden="false" customHeight="true" outlineLevel="0" collapsed="false">
      <c r="A42" s="18" t="s">
        <v>533</v>
      </c>
      <c r="B42" s="18" t="s">
        <v>534</v>
      </c>
      <c r="C42" s="19" t="s">
        <v>553</v>
      </c>
      <c r="D42" s="20" t="s">
        <v>554</v>
      </c>
      <c r="E42" s="31" t="n">
        <v>3</v>
      </c>
      <c r="F42" s="22" t="s">
        <v>60</v>
      </c>
      <c r="G42" s="20" t="s">
        <v>555</v>
      </c>
      <c r="H42" s="27" t="s">
        <v>23</v>
      </c>
    </row>
    <row r="43" customFormat="false" ht="30" hidden="false" customHeight="true" outlineLevel="0" collapsed="false">
      <c r="A43" s="25" t="s">
        <v>533</v>
      </c>
      <c r="B43" s="25" t="s">
        <v>534</v>
      </c>
      <c r="C43" s="26" t="s">
        <v>556</v>
      </c>
      <c r="D43" s="27" t="s">
        <v>557</v>
      </c>
      <c r="E43" s="31" t="n">
        <v>3</v>
      </c>
      <c r="F43" s="22" t="s">
        <v>60</v>
      </c>
      <c r="G43" s="27" t="s">
        <v>558</v>
      </c>
      <c r="H43" s="27" t="s">
        <v>23</v>
      </c>
    </row>
    <row r="44" customFormat="false" ht="18" hidden="false" customHeight="true" outlineLevel="0" collapsed="false">
      <c r="A44" s="17" t="s">
        <v>559</v>
      </c>
      <c r="B44" s="17" t="s">
        <v>560</v>
      </c>
      <c r="C44" s="17"/>
      <c r="D44" s="17"/>
      <c r="E44" s="17"/>
      <c r="F44" s="17"/>
      <c r="G44" s="17"/>
      <c r="H44" s="17"/>
    </row>
    <row r="45" customFormat="false" ht="30" hidden="false" customHeight="true" outlineLevel="0" collapsed="false">
      <c r="A45" s="18" t="s">
        <v>559</v>
      </c>
      <c r="B45" s="18" t="s">
        <v>560</v>
      </c>
      <c r="C45" s="19" t="s">
        <v>561</v>
      </c>
      <c r="D45" s="20" t="s">
        <v>562</v>
      </c>
      <c r="E45" s="21" t="n">
        <v>2</v>
      </c>
      <c r="F45" s="22" t="s">
        <v>60</v>
      </c>
      <c r="G45" s="20" t="s">
        <v>563</v>
      </c>
      <c r="H45" s="27" t="s">
        <v>23</v>
      </c>
    </row>
    <row r="46" customFormat="false" ht="30" hidden="false" customHeight="true" outlineLevel="0" collapsed="false">
      <c r="A46" s="25" t="s">
        <v>559</v>
      </c>
      <c r="B46" s="25" t="s">
        <v>560</v>
      </c>
      <c r="C46" s="26" t="s">
        <v>564</v>
      </c>
      <c r="D46" s="27" t="s">
        <v>565</v>
      </c>
      <c r="E46" s="21" t="n">
        <v>2</v>
      </c>
      <c r="F46" s="22" t="s">
        <v>60</v>
      </c>
      <c r="G46" s="27" t="s">
        <v>566</v>
      </c>
      <c r="H46" s="27" t="s">
        <v>23</v>
      </c>
    </row>
    <row r="47" customFormat="false" ht="30" hidden="false" customHeight="true" outlineLevel="0" collapsed="false">
      <c r="A47" s="18" t="s">
        <v>559</v>
      </c>
      <c r="B47" s="18" t="s">
        <v>560</v>
      </c>
      <c r="C47" s="19" t="s">
        <v>567</v>
      </c>
      <c r="D47" s="20" t="s">
        <v>568</v>
      </c>
      <c r="E47" s="21" t="n">
        <v>2</v>
      </c>
      <c r="F47" s="22" t="s">
        <v>60</v>
      </c>
      <c r="G47" s="20" t="s">
        <v>566</v>
      </c>
      <c r="H47" s="27" t="s">
        <v>23</v>
      </c>
    </row>
    <row r="48" customFormat="false" ht="30" hidden="false" customHeight="true" outlineLevel="0" collapsed="false">
      <c r="A48" s="25" t="s">
        <v>559</v>
      </c>
      <c r="B48" s="25" t="s">
        <v>560</v>
      </c>
      <c r="C48" s="26" t="s">
        <v>569</v>
      </c>
      <c r="D48" s="27" t="s">
        <v>570</v>
      </c>
      <c r="E48" s="31" t="n">
        <v>3</v>
      </c>
      <c r="F48" s="22" t="s">
        <v>60</v>
      </c>
      <c r="G48" s="27" t="s">
        <v>571</v>
      </c>
      <c r="H48" s="27" t="s">
        <v>23</v>
      </c>
    </row>
    <row r="49" customFormat="false" ht="18" hidden="false" customHeight="true" outlineLevel="0" collapsed="false">
      <c r="A49" s="17" t="s">
        <v>572</v>
      </c>
      <c r="B49" s="17" t="s">
        <v>573</v>
      </c>
      <c r="C49" s="17"/>
      <c r="D49" s="17"/>
      <c r="E49" s="17"/>
      <c r="F49" s="17"/>
      <c r="G49" s="17"/>
      <c r="H49" s="17"/>
    </row>
    <row r="50" customFormat="false" ht="30" hidden="false" customHeight="true" outlineLevel="0" collapsed="false">
      <c r="A50" s="18" t="s">
        <v>572</v>
      </c>
      <c r="B50" s="18" t="s">
        <v>573</v>
      </c>
      <c r="C50" s="19" t="s">
        <v>574</v>
      </c>
      <c r="D50" s="20" t="s">
        <v>575</v>
      </c>
      <c r="E50" s="31" t="n">
        <v>3</v>
      </c>
      <c r="F50" s="22" t="s">
        <v>60</v>
      </c>
      <c r="G50" s="20" t="s">
        <v>576</v>
      </c>
      <c r="H50" s="27" t="s">
        <v>23</v>
      </c>
    </row>
    <row r="51" customFormat="false" ht="30" hidden="false" customHeight="true" outlineLevel="0" collapsed="false">
      <c r="A51" s="25" t="s">
        <v>572</v>
      </c>
      <c r="B51" s="25" t="s">
        <v>573</v>
      </c>
      <c r="C51" s="26" t="s">
        <v>577</v>
      </c>
      <c r="D51" s="27" t="s">
        <v>578</v>
      </c>
      <c r="E51" s="31" t="n">
        <v>3</v>
      </c>
      <c r="F51" s="22" t="s">
        <v>60</v>
      </c>
      <c r="G51" s="27" t="s">
        <v>579</v>
      </c>
      <c r="H51" s="27" t="s">
        <v>23</v>
      </c>
    </row>
    <row r="52" customFormat="false" ht="18" hidden="false" customHeight="true" outlineLevel="0" collapsed="false">
      <c r="A52" s="17" t="s">
        <v>580</v>
      </c>
      <c r="B52" s="17" t="s">
        <v>581</v>
      </c>
      <c r="C52" s="17"/>
      <c r="D52" s="17"/>
      <c r="E52" s="17"/>
      <c r="F52" s="17"/>
      <c r="G52" s="17"/>
      <c r="H52" s="17"/>
    </row>
    <row r="53" customFormat="false" ht="30" hidden="false" customHeight="true" outlineLevel="0" collapsed="false">
      <c r="A53" s="18" t="s">
        <v>580</v>
      </c>
      <c r="B53" s="18" t="s">
        <v>581</v>
      </c>
      <c r="C53" s="19" t="s">
        <v>582</v>
      </c>
      <c r="D53" s="20" t="s">
        <v>583</v>
      </c>
      <c r="E53" s="21" t="n">
        <v>2</v>
      </c>
      <c r="F53" s="22" t="s">
        <v>45</v>
      </c>
      <c r="G53" s="20" t="s">
        <v>584</v>
      </c>
      <c r="H53" s="20"/>
    </row>
    <row r="54" customFormat="false" ht="30" hidden="false" customHeight="true" outlineLevel="0" collapsed="false">
      <c r="A54" s="25" t="s">
        <v>580</v>
      </c>
      <c r="B54" s="25" t="s">
        <v>581</v>
      </c>
      <c r="C54" s="26" t="s">
        <v>585</v>
      </c>
      <c r="D54" s="27" t="s">
        <v>586</v>
      </c>
      <c r="E54" s="21" t="n">
        <v>2</v>
      </c>
      <c r="F54" s="22" t="s">
        <v>45</v>
      </c>
      <c r="G54" s="27" t="s">
        <v>587</v>
      </c>
      <c r="H54" s="32" t="s">
        <v>588</v>
      </c>
    </row>
    <row r="55" customFormat="false" ht="30" hidden="false" customHeight="true" outlineLevel="0" collapsed="false">
      <c r="A55" s="18" t="s">
        <v>580</v>
      </c>
      <c r="B55" s="18" t="s">
        <v>581</v>
      </c>
      <c r="C55" s="19" t="s">
        <v>589</v>
      </c>
      <c r="D55" s="20" t="s">
        <v>590</v>
      </c>
      <c r="E55" s="21" t="n">
        <v>2</v>
      </c>
      <c r="F55" s="22" t="s">
        <v>60</v>
      </c>
      <c r="G55" s="20" t="s">
        <v>591</v>
      </c>
      <c r="H55" s="27" t="s">
        <v>23</v>
      </c>
    </row>
    <row r="56" customFormat="false" ht="30" hidden="false" customHeight="true" outlineLevel="0" collapsed="false">
      <c r="A56" s="25" t="s">
        <v>580</v>
      </c>
      <c r="B56" s="25" t="s">
        <v>581</v>
      </c>
      <c r="C56" s="26" t="s">
        <v>592</v>
      </c>
      <c r="D56" s="27" t="s">
        <v>593</v>
      </c>
      <c r="E56" s="21" t="n">
        <v>2</v>
      </c>
      <c r="F56" s="22" t="s">
        <v>60</v>
      </c>
      <c r="G56" s="27" t="s">
        <v>594</v>
      </c>
      <c r="H56" s="27" t="s">
        <v>23</v>
      </c>
    </row>
  </sheetData>
  <conditionalFormatting sqref="F2:F56">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5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pane xSplit="0" ySplit="1" topLeftCell="A13" activePane="bottomLeft" state="frozen"/>
      <selection pane="topLeft" activeCell="C1" activeCellId="0" sqref="C1"/>
      <selection pane="bottomLeft" activeCell="G16" activeCellId="0" sqref="G16"/>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15" hidden="false" customHeight="false" outlineLevel="0" collapsed="false">
      <c r="A1" s="16" t="s">
        <v>33</v>
      </c>
      <c r="B1" s="16" t="s">
        <v>34</v>
      </c>
      <c r="C1" s="16" t="s">
        <v>35</v>
      </c>
      <c r="D1" s="16" t="s">
        <v>36</v>
      </c>
      <c r="E1" s="16" t="s">
        <v>37</v>
      </c>
      <c r="F1" s="16" t="s">
        <v>38</v>
      </c>
      <c r="G1" s="16" t="s">
        <v>39</v>
      </c>
      <c r="H1" s="16" t="s">
        <v>40</v>
      </c>
    </row>
    <row r="2" customFormat="false" ht="15" hidden="false" customHeight="false" outlineLevel="0" collapsed="false">
      <c r="A2" s="17" t="s">
        <v>595</v>
      </c>
      <c r="B2" s="17" t="s">
        <v>596</v>
      </c>
      <c r="C2" s="17"/>
      <c r="D2" s="17"/>
      <c r="E2" s="17"/>
      <c r="F2" s="17"/>
      <c r="G2" s="17"/>
      <c r="H2" s="17"/>
    </row>
    <row r="3" customFormat="false" ht="79.5" hidden="false" customHeight="true" outlineLevel="0" collapsed="false">
      <c r="A3" s="18" t="s">
        <v>595</v>
      </c>
      <c r="B3" s="18" t="s">
        <v>596</v>
      </c>
      <c r="C3" s="19" t="s">
        <v>597</v>
      </c>
      <c r="D3" s="20" t="s">
        <v>598</v>
      </c>
      <c r="E3" s="21" t="n">
        <v>2</v>
      </c>
      <c r="F3" s="22" t="s">
        <v>45</v>
      </c>
      <c r="G3" s="20" t="s">
        <v>599</v>
      </c>
      <c r="H3" s="20" t="s">
        <v>600</v>
      </c>
    </row>
    <row r="4" customFormat="false" ht="48" hidden="false" customHeight="true" outlineLevel="0" collapsed="false">
      <c r="A4" s="25" t="s">
        <v>595</v>
      </c>
      <c r="B4" s="25" t="s">
        <v>596</v>
      </c>
      <c r="C4" s="26" t="s">
        <v>601</v>
      </c>
      <c r="D4" s="27" t="s">
        <v>602</v>
      </c>
      <c r="E4" s="21" t="n">
        <v>2</v>
      </c>
      <c r="F4" s="22" t="s">
        <v>60</v>
      </c>
      <c r="G4" s="27" t="s">
        <v>603</v>
      </c>
      <c r="H4" s="27"/>
    </row>
    <row r="5" customFormat="false" ht="63.75" hidden="false" customHeight="true" outlineLevel="0" collapsed="false">
      <c r="A5" s="18" t="s">
        <v>595</v>
      </c>
      <c r="B5" s="18" t="s">
        <v>596</v>
      </c>
      <c r="C5" s="19" t="s">
        <v>604</v>
      </c>
      <c r="D5" s="20" t="s">
        <v>605</v>
      </c>
      <c r="E5" s="21" t="n">
        <v>2</v>
      </c>
      <c r="F5" s="22" t="s">
        <v>60</v>
      </c>
      <c r="G5" s="20" t="s">
        <v>606</v>
      </c>
      <c r="H5" s="20"/>
    </row>
    <row r="6" customFormat="false" ht="15" hidden="false" customHeight="false" outlineLevel="0" collapsed="false">
      <c r="A6" s="17" t="s">
        <v>607</v>
      </c>
      <c r="B6" s="17" t="s">
        <v>608</v>
      </c>
      <c r="C6" s="17"/>
      <c r="D6" s="17"/>
      <c r="E6" s="17"/>
      <c r="F6" s="17"/>
      <c r="G6" s="17"/>
      <c r="H6" s="17"/>
    </row>
    <row r="7" customFormat="false" ht="31.5" hidden="false" customHeight="true" outlineLevel="0" collapsed="false">
      <c r="A7" s="18" t="s">
        <v>607</v>
      </c>
      <c r="B7" s="18" t="s">
        <v>608</v>
      </c>
      <c r="C7" s="19" t="s">
        <v>609</v>
      </c>
      <c r="D7" s="20" t="s">
        <v>610</v>
      </c>
      <c r="E7" s="30" t="n">
        <v>1</v>
      </c>
      <c r="F7" s="22" t="s">
        <v>45</v>
      </c>
      <c r="G7" s="20" t="s">
        <v>611</v>
      </c>
      <c r="H7" s="20" t="s">
        <v>612</v>
      </c>
    </row>
    <row r="8" customFormat="false" ht="48" hidden="false" customHeight="true" outlineLevel="0" collapsed="false">
      <c r="A8" s="25" t="s">
        <v>607</v>
      </c>
      <c r="B8" s="25" t="s">
        <v>608</v>
      </c>
      <c r="C8" s="26" t="s">
        <v>613</v>
      </c>
      <c r="D8" s="27" t="s">
        <v>614</v>
      </c>
      <c r="E8" s="30" t="n">
        <v>1</v>
      </c>
      <c r="F8" s="22" t="s">
        <v>45</v>
      </c>
      <c r="G8" s="27" t="s">
        <v>615</v>
      </c>
      <c r="H8" s="27"/>
    </row>
    <row r="9" customFormat="false" ht="48" hidden="false" customHeight="true" outlineLevel="0" collapsed="false">
      <c r="A9" s="18" t="s">
        <v>607</v>
      </c>
      <c r="B9" s="18" t="s">
        <v>608</v>
      </c>
      <c r="C9" s="19" t="s">
        <v>616</v>
      </c>
      <c r="D9" s="20" t="s">
        <v>617</v>
      </c>
      <c r="E9" s="30" t="n">
        <v>1</v>
      </c>
      <c r="F9" s="22" t="s">
        <v>60</v>
      </c>
      <c r="G9" s="20" t="s">
        <v>618</v>
      </c>
      <c r="H9" s="20"/>
    </row>
    <row r="10" customFormat="false" ht="48" hidden="false" customHeight="true" outlineLevel="0" collapsed="false">
      <c r="A10" s="25" t="s">
        <v>607</v>
      </c>
      <c r="B10" s="25" t="s">
        <v>608</v>
      </c>
      <c r="C10" s="26" t="s">
        <v>619</v>
      </c>
      <c r="D10" s="27" t="s">
        <v>620</v>
      </c>
      <c r="E10" s="30" t="n">
        <v>1</v>
      </c>
      <c r="F10" s="22" t="s">
        <v>45</v>
      </c>
      <c r="G10" s="27" t="s">
        <v>621</v>
      </c>
      <c r="H10" s="27" t="s">
        <v>622</v>
      </c>
    </row>
    <row r="11" customFormat="false" ht="15" hidden="false" customHeight="false" outlineLevel="0" collapsed="false">
      <c r="A11" s="17" t="s">
        <v>623</v>
      </c>
      <c r="B11" s="17" t="s">
        <v>624</v>
      </c>
      <c r="C11" s="17"/>
      <c r="D11" s="17"/>
      <c r="E11" s="17"/>
      <c r="F11" s="17"/>
      <c r="G11" s="17"/>
      <c r="H11" s="17"/>
    </row>
    <row r="12" customFormat="false" ht="31.5" hidden="false" customHeight="true" outlineLevel="0" collapsed="false">
      <c r="A12" s="18" t="s">
        <v>623</v>
      </c>
      <c r="B12" s="18" t="s">
        <v>624</v>
      </c>
      <c r="C12" s="19" t="s">
        <v>625</v>
      </c>
      <c r="D12" s="20" t="s">
        <v>626</v>
      </c>
      <c r="E12" s="21" t="n">
        <v>2</v>
      </c>
      <c r="F12" s="22" t="s">
        <v>45</v>
      </c>
      <c r="G12" s="20" t="s">
        <v>627</v>
      </c>
      <c r="H12" s="20" t="s">
        <v>448</v>
      </c>
    </row>
    <row r="13" customFormat="false" ht="48" hidden="false" customHeight="true" outlineLevel="0" collapsed="false">
      <c r="A13" s="25" t="s">
        <v>623</v>
      </c>
      <c r="B13" s="25" t="s">
        <v>624</v>
      </c>
      <c r="C13" s="26" t="s">
        <v>628</v>
      </c>
      <c r="D13" s="27" t="s">
        <v>629</v>
      </c>
      <c r="E13" s="21" t="n">
        <v>2</v>
      </c>
      <c r="F13" s="22" t="s">
        <v>45</v>
      </c>
      <c r="G13" s="27" t="s">
        <v>630</v>
      </c>
      <c r="H13" s="27" t="s">
        <v>631</v>
      </c>
    </row>
    <row r="14" customFormat="false" ht="15" hidden="false" customHeight="false" outlineLevel="0" collapsed="false">
      <c r="A14" s="17" t="s">
        <v>632</v>
      </c>
      <c r="B14" s="17" t="s">
        <v>633</v>
      </c>
      <c r="C14" s="17"/>
      <c r="D14" s="17"/>
      <c r="E14" s="17"/>
      <c r="F14" s="17"/>
      <c r="G14" s="17"/>
      <c r="H14" s="17"/>
    </row>
    <row r="15" customFormat="false" ht="111.75" hidden="false" customHeight="true" outlineLevel="0" collapsed="false">
      <c r="A15" s="18" t="s">
        <v>632</v>
      </c>
      <c r="B15" s="18" t="s">
        <v>633</v>
      </c>
      <c r="C15" s="19" t="s">
        <v>634</v>
      </c>
      <c r="D15" s="20" t="s">
        <v>635</v>
      </c>
      <c r="E15" s="30" t="n">
        <v>1</v>
      </c>
      <c r="F15" s="22" t="s">
        <v>400</v>
      </c>
      <c r="G15" s="20"/>
      <c r="H15" s="20"/>
    </row>
    <row r="16" customFormat="false" ht="31.5" hidden="false" customHeight="true" outlineLevel="0" collapsed="false">
      <c r="A16" s="25" t="s">
        <v>632</v>
      </c>
      <c r="B16" s="25" t="s">
        <v>633</v>
      </c>
      <c r="C16" s="26" t="s">
        <v>636</v>
      </c>
      <c r="D16" s="27" t="s">
        <v>637</v>
      </c>
      <c r="E16" s="30" t="n">
        <v>1</v>
      </c>
      <c r="F16" s="22" t="s">
        <v>400</v>
      </c>
      <c r="G16" s="27"/>
      <c r="H16" s="27"/>
    </row>
    <row r="17" customFormat="false" ht="63.75" hidden="false" customHeight="true" outlineLevel="0" collapsed="false">
      <c r="A17" s="18" t="s">
        <v>632</v>
      </c>
      <c r="B17" s="18" t="s">
        <v>633</v>
      </c>
      <c r="C17" s="19" t="s">
        <v>638</v>
      </c>
      <c r="D17" s="20" t="s">
        <v>639</v>
      </c>
      <c r="E17" s="21" t="n">
        <v>2</v>
      </c>
      <c r="F17" s="22" t="s">
        <v>400</v>
      </c>
      <c r="G17" s="20"/>
      <c r="H17" s="20"/>
    </row>
    <row r="18" customFormat="false" ht="31.5" hidden="false" customHeight="true" outlineLevel="0" collapsed="false">
      <c r="A18" s="25" t="s">
        <v>632</v>
      </c>
      <c r="B18" s="25" t="s">
        <v>633</v>
      </c>
      <c r="C18" s="26" t="s">
        <v>640</v>
      </c>
      <c r="D18" s="27" t="s">
        <v>641</v>
      </c>
      <c r="E18" s="21" t="n">
        <v>2</v>
      </c>
      <c r="F18" s="22" t="s">
        <v>60</v>
      </c>
      <c r="G18" s="27" t="s">
        <v>642</v>
      </c>
      <c r="H18" s="27"/>
    </row>
    <row r="19" customFormat="false" ht="31.5" hidden="false" customHeight="true" outlineLevel="0" collapsed="false">
      <c r="A19" s="18" t="s">
        <v>632</v>
      </c>
      <c r="B19" s="18" t="s">
        <v>633</v>
      </c>
      <c r="C19" s="19" t="s">
        <v>643</v>
      </c>
      <c r="D19" s="20" t="s">
        <v>644</v>
      </c>
      <c r="E19" s="21" t="n">
        <v>2</v>
      </c>
      <c r="F19" s="22" t="s">
        <v>45</v>
      </c>
      <c r="G19" s="20" t="s">
        <v>645</v>
      </c>
      <c r="H19" s="20" t="s">
        <v>646</v>
      </c>
    </row>
    <row r="20" customFormat="false" ht="15" hidden="false" customHeight="false" outlineLevel="0" collapsed="false">
      <c r="A20" s="17" t="s">
        <v>647</v>
      </c>
      <c r="B20" s="17" t="s">
        <v>648</v>
      </c>
      <c r="C20" s="17"/>
      <c r="D20" s="17"/>
      <c r="E20" s="17"/>
      <c r="F20" s="17"/>
      <c r="G20" s="17"/>
      <c r="H20" s="17"/>
    </row>
    <row r="21" customFormat="false" ht="63.75" hidden="false" customHeight="true" outlineLevel="0" collapsed="false">
      <c r="A21" s="18" t="s">
        <v>647</v>
      </c>
      <c r="B21" s="18" t="s">
        <v>648</v>
      </c>
      <c r="C21" s="19" t="s">
        <v>649</v>
      </c>
      <c r="D21" s="20" t="s">
        <v>650</v>
      </c>
      <c r="E21" s="21" t="n">
        <v>2</v>
      </c>
      <c r="F21" s="22" t="s">
        <v>400</v>
      </c>
      <c r="G21" s="20"/>
      <c r="H21" s="20"/>
    </row>
    <row r="22" customFormat="false" ht="31.5" hidden="false" customHeight="true" outlineLevel="0" collapsed="false">
      <c r="A22" s="25" t="s">
        <v>647</v>
      </c>
      <c r="B22" s="25" t="s">
        <v>648</v>
      </c>
      <c r="C22" s="26" t="s">
        <v>651</v>
      </c>
      <c r="D22" s="27" t="s">
        <v>652</v>
      </c>
      <c r="E22" s="21" t="n">
        <v>2</v>
      </c>
      <c r="F22" s="22" t="s">
        <v>400</v>
      </c>
      <c r="G22" s="27"/>
      <c r="H22" s="27"/>
    </row>
    <row r="23" customFormat="false" ht="48" hidden="false" customHeight="true" outlineLevel="0" collapsed="false">
      <c r="A23" s="18" t="s">
        <v>647</v>
      </c>
      <c r="B23" s="18" t="s">
        <v>648</v>
      </c>
      <c r="C23" s="19" t="s">
        <v>653</v>
      </c>
      <c r="D23" s="20" t="s">
        <v>654</v>
      </c>
      <c r="E23" s="31" t="n">
        <v>3</v>
      </c>
      <c r="F23" s="22" t="s">
        <v>400</v>
      </c>
      <c r="G23" s="20"/>
      <c r="H23" s="20"/>
    </row>
    <row r="24" customFormat="false" ht="15" hidden="false" customHeight="false" outlineLevel="0" collapsed="false">
      <c r="A24" s="17" t="s">
        <v>655</v>
      </c>
      <c r="B24" s="17" t="s">
        <v>656</v>
      </c>
      <c r="C24" s="17"/>
      <c r="D24" s="17"/>
      <c r="E24" s="17"/>
      <c r="F24" s="17"/>
      <c r="G24" s="17"/>
      <c r="H24" s="17"/>
    </row>
    <row r="25" customFormat="false" ht="63.75" hidden="false" customHeight="true" outlineLevel="0" collapsed="false">
      <c r="A25" s="18" t="s">
        <v>655</v>
      </c>
      <c r="B25" s="18" t="s">
        <v>656</v>
      </c>
      <c r="C25" s="19" t="s">
        <v>657</v>
      </c>
      <c r="D25" s="20" t="s">
        <v>658</v>
      </c>
      <c r="E25" s="21" t="n">
        <v>2</v>
      </c>
      <c r="F25" s="22" t="s">
        <v>60</v>
      </c>
      <c r="G25" s="20"/>
      <c r="H25" s="20"/>
    </row>
    <row r="26" customFormat="false" ht="48" hidden="false" customHeight="true" outlineLevel="0" collapsed="false">
      <c r="A26" s="25" t="s">
        <v>655</v>
      </c>
      <c r="B26" s="25" t="s">
        <v>656</v>
      </c>
      <c r="C26" s="26" t="s">
        <v>659</v>
      </c>
      <c r="D26" s="27" t="s">
        <v>660</v>
      </c>
      <c r="E26" s="21" t="n">
        <v>2</v>
      </c>
      <c r="F26" s="22" t="s">
        <v>45</v>
      </c>
      <c r="G26" s="27" t="s">
        <v>661</v>
      </c>
      <c r="H26" s="27"/>
    </row>
  </sheetData>
  <conditionalFormatting sqref="F2:F26">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2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1" activePane="bottomLeft" state="frozen"/>
      <selection pane="topLeft" activeCell="A1" activeCellId="0" sqref="A1"/>
      <selection pane="bottomLeft" activeCell="G18" activeCellId="0" sqref="G18"/>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15" hidden="false" customHeight="false" outlineLevel="0" collapsed="false">
      <c r="A1" s="16" t="s">
        <v>33</v>
      </c>
      <c r="B1" s="16" t="s">
        <v>34</v>
      </c>
      <c r="C1" s="16" t="s">
        <v>35</v>
      </c>
      <c r="D1" s="16" t="s">
        <v>36</v>
      </c>
      <c r="E1" s="16" t="s">
        <v>37</v>
      </c>
      <c r="F1" s="16" t="s">
        <v>38</v>
      </c>
      <c r="G1" s="16" t="s">
        <v>39</v>
      </c>
      <c r="H1" s="16" t="s">
        <v>40</v>
      </c>
    </row>
    <row r="2" customFormat="false" ht="15" hidden="false" customHeight="false" outlineLevel="0" collapsed="false">
      <c r="A2" s="17" t="s">
        <v>662</v>
      </c>
      <c r="B2" s="17" t="s">
        <v>663</v>
      </c>
      <c r="C2" s="17"/>
      <c r="D2" s="17"/>
      <c r="E2" s="17"/>
      <c r="F2" s="17"/>
      <c r="G2" s="17"/>
      <c r="H2" s="17"/>
    </row>
    <row r="3" customFormat="false" ht="48" hidden="false" customHeight="true" outlineLevel="0" collapsed="false">
      <c r="A3" s="18" t="s">
        <v>662</v>
      </c>
      <c r="B3" s="18" t="s">
        <v>663</v>
      </c>
      <c r="C3" s="19" t="s">
        <v>664</v>
      </c>
      <c r="D3" s="20" t="s">
        <v>665</v>
      </c>
      <c r="E3" s="30" t="n">
        <v>1</v>
      </c>
      <c r="F3" s="22" t="s">
        <v>45</v>
      </c>
      <c r="G3" s="20" t="s">
        <v>666</v>
      </c>
      <c r="H3" s="20" t="s">
        <v>667</v>
      </c>
    </row>
    <row r="4" customFormat="false" ht="63.75" hidden="false" customHeight="true" outlineLevel="0" collapsed="false">
      <c r="A4" s="25" t="s">
        <v>662</v>
      </c>
      <c r="B4" s="25" t="s">
        <v>663</v>
      </c>
      <c r="C4" s="26" t="s">
        <v>668</v>
      </c>
      <c r="D4" s="27" t="s">
        <v>669</v>
      </c>
      <c r="E4" s="21" t="n">
        <v>2</v>
      </c>
      <c r="F4" s="22" t="s">
        <v>45</v>
      </c>
      <c r="G4" s="20" t="s">
        <v>670</v>
      </c>
      <c r="H4" s="20" t="s">
        <v>671</v>
      </c>
    </row>
    <row r="5" customFormat="false" ht="79.5" hidden="false" customHeight="true" outlineLevel="0" collapsed="false">
      <c r="A5" s="18" t="s">
        <v>662</v>
      </c>
      <c r="B5" s="18" t="s">
        <v>663</v>
      </c>
      <c r="C5" s="19" t="s">
        <v>672</v>
      </c>
      <c r="D5" s="20" t="s">
        <v>673</v>
      </c>
      <c r="E5" s="31" t="n">
        <v>3</v>
      </c>
      <c r="F5" s="22" t="s">
        <v>60</v>
      </c>
      <c r="G5" s="20"/>
      <c r="H5" s="20"/>
    </row>
    <row r="6" customFormat="false" ht="79.5" hidden="false" customHeight="true" outlineLevel="0" collapsed="false">
      <c r="A6" s="25" t="s">
        <v>662</v>
      </c>
      <c r="B6" s="25" t="s">
        <v>663</v>
      </c>
      <c r="C6" s="26" t="s">
        <v>674</v>
      </c>
      <c r="D6" s="27" t="s">
        <v>675</v>
      </c>
      <c r="E6" s="31" t="n">
        <v>3</v>
      </c>
      <c r="F6" s="22" t="s">
        <v>60</v>
      </c>
      <c r="G6" s="20"/>
      <c r="H6" s="20"/>
    </row>
    <row r="7" customFormat="false" ht="15" hidden="false" customHeight="false" outlineLevel="0" collapsed="false">
      <c r="A7" s="17" t="s">
        <v>676</v>
      </c>
      <c r="B7" s="17" t="s">
        <v>677</v>
      </c>
      <c r="C7" s="17"/>
      <c r="D7" s="17"/>
      <c r="E7" s="17"/>
      <c r="F7" s="17"/>
      <c r="G7" s="17"/>
      <c r="H7" s="17"/>
    </row>
    <row r="8" customFormat="false" ht="31.5" hidden="false" customHeight="true" outlineLevel="0" collapsed="false">
      <c r="A8" s="18" t="s">
        <v>676</v>
      </c>
      <c r="B8" s="18" t="s">
        <v>677</v>
      </c>
      <c r="C8" s="19" t="s">
        <v>678</v>
      </c>
      <c r="D8" s="20" t="s">
        <v>679</v>
      </c>
      <c r="E8" s="30" t="n">
        <v>1</v>
      </c>
      <c r="F8" s="22" t="s">
        <v>45</v>
      </c>
      <c r="G8" s="20" t="s">
        <v>680</v>
      </c>
      <c r="H8" s="20" t="s">
        <v>681</v>
      </c>
    </row>
    <row r="9" customFormat="false" ht="63.75" hidden="false" customHeight="true" outlineLevel="0" collapsed="false">
      <c r="A9" s="25" t="s">
        <v>676</v>
      </c>
      <c r="B9" s="25" t="s">
        <v>677</v>
      </c>
      <c r="C9" s="26" t="s">
        <v>682</v>
      </c>
      <c r="D9" s="27" t="s">
        <v>683</v>
      </c>
      <c r="E9" s="30" t="n">
        <v>1</v>
      </c>
      <c r="F9" s="22" t="s">
        <v>45</v>
      </c>
      <c r="G9" s="27" t="s">
        <v>684</v>
      </c>
      <c r="H9" s="20" t="s">
        <v>681</v>
      </c>
    </row>
    <row r="10" customFormat="false" ht="48" hidden="false" customHeight="true" outlineLevel="0" collapsed="false">
      <c r="A10" s="18" t="s">
        <v>676</v>
      </c>
      <c r="B10" s="18" t="s">
        <v>677</v>
      </c>
      <c r="C10" s="19" t="s">
        <v>685</v>
      </c>
      <c r="D10" s="20" t="s">
        <v>686</v>
      </c>
      <c r="E10" s="21" t="n">
        <v>2</v>
      </c>
      <c r="F10" s="22" t="s">
        <v>45</v>
      </c>
      <c r="G10" s="27" t="s">
        <v>684</v>
      </c>
      <c r="H10" s="20" t="s">
        <v>681</v>
      </c>
    </row>
    <row r="11" customFormat="false" ht="96" hidden="false" customHeight="true" outlineLevel="0" collapsed="false">
      <c r="A11" s="25" t="s">
        <v>676</v>
      </c>
      <c r="B11" s="25" t="s">
        <v>677</v>
      </c>
      <c r="C11" s="26" t="s">
        <v>687</v>
      </c>
      <c r="D11" s="27" t="s">
        <v>688</v>
      </c>
      <c r="E11" s="31" t="n">
        <v>3</v>
      </c>
      <c r="F11" s="22" t="s">
        <v>60</v>
      </c>
      <c r="G11" s="27"/>
      <c r="H11" s="27"/>
    </row>
    <row r="12" customFormat="false" ht="15" hidden="false" customHeight="false" outlineLevel="0" collapsed="false">
      <c r="A12" s="17" t="s">
        <v>689</v>
      </c>
      <c r="B12" s="17" t="s">
        <v>690</v>
      </c>
      <c r="C12" s="17"/>
      <c r="D12" s="17"/>
      <c r="E12" s="17"/>
      <c r="F12" s="17"/>
      <c r="G12" s="17"/>
      <c r="H12" s="17"/>
    </row>
    <row r="13" customFormat="false" ht="48" hidden="false" customHeight="true" outlineLevel="0" collapsed="false">
      <c r="A13" s="18" t="s">
        <v>689</v>
      </c>
      <c r="B13" s="18" t="s">
        <v>690</v>
      </c>
      <c r="C13" s="19" t="s">
        <v>691</v>
      </c>
      <c r="D13" s="20" t="s">
        <v>692</v>
      </c>
      <c r="E13" s="30" t="n">
        <v>1</v>
      </c>
      <c r="F13" s="22" t="s">
        <v>45</v>
      </c>
      <c r="G13" s="20" t="s">
        <v>693</v>
      </c>
      <c r="H13" s="20" t="s">
        <v>681</v>
      </c>
    </row>
    <row r="14" customFormat="false" ht="96" hidden="false" customHeight="true" outlineLevel="0" collapsed="false">
      <c r="A14" s="25" t="s">
        <v>689</v>
      </c>
      <c r="B14" s="25" t="s">
        <v>690</v>
      </c>
      <c r="C14" s="26" t="s">
        <v>694</v>
      </c>
      <c r="D14" s="27" t="s">
        <v>695</v>
      </c>
      <c r="E14" s="31" t="n">
        <v>3</v>
      </c>
      <c r="F14" s="22" t="s">
        <v>45</v>
      </c>
      <c r="G14" s="27" t="s">
        <v>696</v>
      </c>
      <c r="H14" s="20" t="s">
        <v>697</v>
      </c>
    </row>
    <row r="15" customFormat="false" ht="111.75" hidden="false" customHeight="true" outlineLevel="0" collapsed="false">
      <c r="A15" s="18" t="s">
        <v>689</v>
      </c>
      <c r="B15" s="18" t="s">
        <v>690</v>
      </c>
      <c r="C15" s="19" t="s">
        <v>698</v>
      </c>
      <c r="D15" s="20" t="s">
        <v>699</v>
      </c>
      <c r="E15" s="31" t="n">
        <v>3</v>
      </c>
      <c r="F15" s="22" t="s">
        <v>60</v>
      </c>
      <c r="G15" s="20" t="s">
        <v>700</v>
      </c>
      <c r="H15" s="20"/>
    </row>
    <row r="16" customFormat="false" ht="15" hidden="false" customHeight="false" outlineLevel="0" collapsed="false">
      <c r="A16" s="17" t="s">
        <v>701</v>
      </c>
      <c r="B16" s="17" t="s">
        <v>702</v>
      </c>
      <c r="C16" s="17"/>
      <c r="D16" s="17"/>
      <c r="E16" s="17"/>
      <c r="F16" s="17"/>
      <c r="G16" s="17"/>
      <c r="H16" s="17"/>
    </row>
    <row r="17" customFormat="false" ht="48" hidden="false" customHeight="true" outlineLevel="0" collapsed="false">
      <c r="A17" s="18" t="s">
        <v>701</v>
      </c>
      <c r="B17" s="18" t="s">
        <v>702</v>
      </c>
      <c r="C17" s="19" t="s">
        <v>703</v>
      </c>
      <c r="D17" s="20" t="s">
        <v>704</v>
      </c>
      <c r="E17" s="21" t="n">
        <v>2</v>
      </c>
      <c r="F17" s="22" t="s">
        <v>60</v>
      </c>
      <c r="G17" s="20" t="s">
        <v>705</v>
      </c>
      <c r="H17" s="20"/>
    </row>
    <row r="18" customFormat="false" ht="96" hidden="false" customHeight="true" outlineLevel="0" collapsed="false">
      <c r="A18" s="25" t="s">
        <v>701</v>
      </c>
      <c r="B18" s="25" t="s">
        <v>702</v>
      </c>
      <c r="C18" s="26" t="s">
        <v>706</v>
      </c>
      <c r="D18" s="27" t="s">
        <v>707</v>
      </c>
      <c r="E18" s="31" t="n">
        <v>3</v>
      </c>
      <c r="F18" s="22" t="s">
        <v>60</v>
      </c>
      <c r="G18" s="27" t="s">
        <v>708</v>
      </c>
      <c r="H18" s="20" t="s">
        <v>697</v>
      </c>
    </row>
  </sheetData>
  <conditionalFormatting sqref="F2:F18">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18"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1" activeCellId="0" sqref="G11"/>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15" hidden="false" customHeight="false" outlineLevel="0" collapsed="false">
      <c r="A1" s="16" t="s">
        <v>33</v>
      </c>
      <c r="B1" s="16" t="s">
        <v>34</v>
      </c>
      <c r="C1" s="16" t="s">
        <v>35</v>
      </c>
      <c r="D1" s="16" t="s">
        <v>36</v>
      </c>
      <c r="E1" s="16" t="s">
        <v>37</v>
      </c>
      <c r="F1" s="16" t="s">
        <v>38</v>
      </c>
      <c r="G1" s="16" t="s">
        <v>39</v>
      </c>
      <c r="H1" s="16" t="s">
        <v>40</v>
      </c>
    </row>
    <row r="2" customFormat="false" ht="15" hidden="false" customHeight="false" outlineLevel="0" collapsed="false">
      <c r="A2" s="17" t="s">
        <v>709</v>
      </c>
      <c r="B2" s="17" t="s">
        <v>710</v>
      </c>
      <c r="C2" s="17"/>
      <c r="D2" s="17"/>
      <c r="E2" s="17"/>
      <c r="F2" s="17"/>
      <c r="G2" s="17"/>
      <c r="H2" s="17"/>
    </row>
    <row r="3" customFormat="false" ht="31.5" hidden="false" customHeight="true" outlineLevel="0" collapsed="false">
      <c r="A3" s="18" t="s">
        <v>709</v>
      </c>
      <c r="B3" s="18" t="s">
        <v>710</v>
      </c>
      <c r="C3" s="19" t="s">
        <v>711</v>
      </c>
      <c r="D3" s="20" t="s">
        <v>712</v>
      </c>
      <c r="E3" s="30" t="n">
        <v>1</v>
      </c>
      <c r="F3" s="22" t="s">
        <v>45</v>
      </c>
      <c r="G3" s="20" t="s">
        <v>713</v>
      </c>
      <c r="H3" s="20" t="s">
        <v>612</v>
      </c>
    </row>
    <row r="4" customFormat="false" ht="96" hidden="false" customHeight="true" outlineLevel="0" collapsed="false">
      <c r="A4" s="25" t="s">
        <v>709</v>
      </c>
      <c r="B4" s="25" t="s">
        <v>710</v>
      </c>
      <c r="C4" s="26" t="s">
        <v>714</v>
      </c>
      <c r="D4" s="27" t="s">
        <v>715</v>
      </c>
      <c r="E4" s="30" t="n">
        <v>1</v>
      </c>
      <c r="F4" s="22" t="s">
        <v>45</v>
      </c>
      <c r="G4" s="27" t="s">
        <v>716</v>
      </c>
      <c r="H4" s="20" t="s">
        <v>146</v>
      </c>
    </row>
    <row r="5" customFormat="false" ht="79.5" hidden="false" customHeight="true" outlineLevel="0" collapsed="false">
      <c r="A5" s="18" t="s">
        <v>709</v>
      </c>
      <c r="B5" s="18" t="s">
        <v>710</v>
      </c>
      <c r="C5" s="19" t="s">
        <v>717</v>
      </c>
      <c r="D5" s="20" t="s">
        <v>718</v>
      </c>
      <c r="E5" s="30" t="n">
        <v>1</v>
      </c>
      <c r="F5" s="22" t="s">
        <v>45</v>
      </c>
      <c r="G5" s="27" t="s">
        <v>719</v>
      </c>
      <c r="H5" s="20" t="s">
        <v>146</v>
      </c>
    </row>
    <row r="6" customFormat="false" ht="15" hidden="false" customHeight="false" outlineLevel="0" collapsed="false">
      <c r="A6" s="17" t="s">
        <v>720</v>
      </c>
      <c r="B6" s="17" t="s">
        <v>721</v>
      </c>
      <c r="C6" s="17"/>
      <c r="D6" s="17"/>
      <c r="E6" s="17"/>
      <c r="F6" s="17"/>
      <c r="G6" s="17"/>
      <c r="H6" s="17"/>
    </row>
    <row r="7" customFormat="false" ht="48" hidden="false" customHeight="true" outlineLevel="0" collapsed="false">
      <c r="A7" s="18" t="s">
        <v>720</v>
      </c>
      <c r="B7" s="18" t="s">
        <v>721</v>
      </c>
      <c r="C7" s="19" t="s">
        <v>722</v>
      </c>
      <c r="D7" s="20" t="s">
        <v>723</v>
      </c>
      <c r="E7" s="30" t="n">
        <v>1</v>
      </c>
      <c r="F7" s="22" t="s">
        <v>45</v>
      </c>
      <c r="G7" s="20" t="s">
        <v>724</v>
      </c>
      <c r="H7" s="20" t="s">
        <v>588</v>
      </c>
    </row>
    <row r="8" customFormat="false" ht="63.75" hidden="false" customHeight="true" outlineLevel="0" collapsed="false">
      <c r="A8" s="25" t="s">
        <v>720</v>
      </c>
      <c r="B8" s="25" t="s">
        <v>721</v>
      </c>
      <c r="C8" s="26" t="s">
        <v>725</v>
      </c>
      <c r="D8" s="27" t="s">
        <v>726</v>
      </c>
      <c r="E8" s="21" t="n">
        <v>2</v>
      </c>
      <c r="F8" s="22" t="s">
        <v>45</v>
      </c>
      <c r="G8" s="27" t="s">
        <v>727</v>
      </c>
      <c r="H8" s="27" t="s">
        <v>612</v>
      </c>
    </row>
    <row r="9" customFormat="false" ht="48" hidden="false" customHeight="true" outlineLevel="0" collapsed="false">
      <c r="A9" s="18" t="s">
        <v>720</v>
      </c>
      <c r="B9" s="18" t="s">
        <v>721</v>
      </c>
      <c r="C9" s="19" t="s">
        <v>728</v>
      </c>
      <c r="D9" s="20" t="s">
        <v>729</v>
      </c>
      <c r="E9" s="21" t="n">
        <v>2</v>
      </c>
      <c r="F9" s="22" t="s">
        <v>60</v>
      </c>
      <c r="G9" s="20" t="s">
        <v>730</v>
      </c>
      <c r="H9" s="20"/>
    </row>
    <row r="10" customFormat="false" ht="96" hidden="false" customHeight="true" outlineLevel="0" collapsed="false">
      <c r="A10" s="25" t="s">
        <v>720</v>
      </c>
      <c r="B10" s="25" t="s">
        <v>721</v>
      </c>
      <c r="C10" s="26" t="s">
        <v>731</v>
      </c>
      <c r="D10" s="27" t="s">
        <v>732</v>
      </c>
      <c r="E10" s="21" t="n">
        <v>2</v>
      </c>
      <c r="F10" s="22" t="s">
        <v>60</v>
      </c>
      <c r="G10" s="27" t="s">
        <v>733</v>
      </c>
      <c r="H10" s="27"/>
    </row>
  </sheetData>
  <conditionalFormatting sqref="F2:F10">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10"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44" activeCellId="0" sqref="F44"/>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15" hidden="false" customHeight="false" outlineLevel="0" collapsed="false">
      <c r="A1" s="16" t="s">
        <v>33</v>
      </c>
      <c r="B1" s="16" t="s">
        <v>34</v>
      </c>
      <c r="C1" s="16" t="s">
        <v>35</v>
      </c>
      <c r="D1" s="16" t="s">
        <v>36</v>
      </c>
      <c r="E1" s="16" t="s">
        <v>37</v>
      </c>
      <c r="F1" s="16" t="s">
        <v>38</v>
      </c>
      <c r="G1" s="16" t="s">
        <v>39</v>
      </c>
      <c r="H1" s="16" t="s">
        <v>40</v>
      </c>
    </row>
    <row r="2" customFormat="false" ht="15" hidden="false" customHeight="false" outlineLevel="0" collapsed="false">
      <c r="A2" s="17" t="s">
        <v>734</v>
      </c>
      <c r="B2" s="17" t="s">
        <v>735</v>
      </c>
      <c r="C2" s="17"/>
      <c r="D2" s="17"/>
      <c r="E2" s="17"/>
      <c r="F2" s="17"/>
      <c r="G2" s="17"/>
      <c r="H2" s="17"/>
    </row>
    <row r="3" customFormat="false" ht="63.75" hidden="false" customHeight="true" outlineLevel="0" collapsed="false">
      <c r="A3" s="18" t="s">
        <v>734</v>
      </c>
      <c r="B3" s="18" t="s">
        <v>735</v>
      </c>
      <c r="C3" s="19" t="s">
        <v>736</v>
      </c>
      <c r="D3" s="20" t="s">
        <v>737</v>
      </c>
      <c r="E3" s="21" t="n">
        <v>2</v>
      </c>
      <c r="F3" s="22" t="s">
        <v>60</v>
      </c>
      <c r="G3" s="20"/>
      <c r="H3" s="20"/>
    </row>
    <row r="4" customFormat="false" ht="111.75" hidden="false" customHeight="true" outlineLevel="0" collapsed="false">
      <c r="A4" s="25" t="s">
        <v>734</v>
      </c>
      <c r="B4" s="25" t="s">
        <v>735</v>
      </c>
      <c r="C4" s="26" t="s">
        <v>738</v>
      </c>
      <c r="D4" s="27" t="s">
        <v>739</v>
      </c>
      <c r="E4" s="21" t="n">
        <v>2</v>
      </c>
      <c r="F4" s="22" t="s">
        <v>60</v>
      </c>
      <c r="G4" s="27"/>
      <c r="H4" s="27"/>
    </row>
    <row r="5" customFormat="false" ht="15" hidden="false" customHeight="false" outlineLevel="0" collapsed="false">
      <c r="A5" s="17" t="s">
        <v>740</v>
      </c>
      <c r="B5" s="17" t="s">
        <v>741</v>
      </c>
      <c r="C5" s="17"/>
      <c r="D5" s="17"/>
      <c r="E5" s="17"/>
      <c r="F5" s="17"/>
      <c r="G5" s="17"/>
      <c r="H5" s="17"/>
    </row>
    <row r="6" customFormat="false" ht="79.5" hidden="false" customHeight="true" outlineLevel="0" collapsed="false">
      <c r="A6" s="18" t="s">
        <v>740</v>
      </c>
      <c r="B6" s="18" t="s">
        <v>741</v>
      </c>
      <c r="C6" s="19" t="s">
        <v>742</v>
      </c>
      <c r="D6" s="20" t="s">
        <v>743</v>
      </c>
      <c r="E6" s="21" t="n">
        <v>2</v>
      </c>
      <c r="F6" s="22" t="s">
        <v>60</v>
      </c>
      <c r="G6" s="20"/>
      <c r="H6" s="20"/>
    </row>
    <row r="7" customFormat="false" ht="63.75" hidden="false" customHeight="true" outlineLevel="0" collapsed="false">
      <c r="A7" s="25" t="s">
        <v>740</v>
      </c>
      <c r="B7" s="25" t="s">
        <v>741</v>
      </c>
      <c r="C7" s="26" t="s">
        <v>744</v>
      </c>
      <c r="D7" s="27" t="s">
        <v>745</v>
      </c>
      <c r="E7" s="21" t="n">
        <v>2</v>
      </c>
      <c r="F7" s="22" t="s">
        <v>60</v>
      </c>
      <c r="G7" s="27"/>
      <c r="H7" s="27"/>
    </row>
    <row r="8" customFormat="false" ht="31.5" hidden="false" customHeight="true" outlineLevel="0" collapsed="false">
      <c r="A8" s="18" t="s">
        <v>740</v>
      </c>
      <c r="B8" s="18" t="s">
        <v>741</v>
      </c>
      <c r="C8" s="19" t="s">
        <v>746</v>
      </c>
      <c r="D8" s="20" t="s">
        <v>747</v>
      </c>
      <c r="E8" s="31" t="n">
        <v>3</v>
      </c>
      <c r="F8" s="22" t="s">
        <v>60</v>
      </c>
      <c r="G8" s="20"/>
      <c r="H8" s="20"/>
    </row>
    <row r="9" customFormat="false" ht="15" hidden="false" customHeight="false" outlineLevel="0" collapsed="false">
      <c r="A9" s="17" t="s">
        <v>748</v>
      </c>
      <c r="B9" s="17" t="s">
        <v>749</v>
      </c>
      <c r="C9" s="17"/>
      <c r="D9" s="17"/>
      <c r="E9" s="17"/>
      <c r="F9" s="17"/>
      <c r="G9" s="17"/>
      <c r="H9" s="17"/>
    </row>
    <row r="10" customFormat="false" ht="63.75" hidden="false" customHeight="true" outlineLevel="0" collapsed="false">
      <c r="A10" s="18" t="s">
        <v>748</v>
      </c>
      <c r="B10" s="18" t="s">
        <v>749</v>
      </c>
      <c r="C10" s="19" t="s">
        <v>750</v>
      </c>
      <c r="D10" s="20" t="s">
        <v>751</v>
      </c>
      <c r="E10" s="21" t="n">
        <v>2</v>
      </c>
      <c r="F10" s="22" t="s">
        <v>60</v>
      </c>
      <c r="G10" s="20"/>
      <c r="H10" s="20"/>
    </row>
    <row r="11" customFormat="false" ht="63.75" hidden="false" customHeight="true" outlineLevel="0" collapsed="false">
      <c r="A11" s="25" t="s">
        <v>748</v>
      </c>
      <c r="B11" s="25" t="s">
        <v>749</v>
      </c>
      <c r="C11" s="26" t="s">
        <v>752</v>
      </c>
      <c r="D11" s="27" t="s">
        <v>753</v>
      </c>
      <c r="E11" s="21" t="n">
        <v>2</v>
      </c>
      <c r="F11" s="22" t="s">
        <v>60</v>
      </c>
      <c r="G11" s="27"/>
      <c r="H11" s="27"/>
    </row>
    <row r="12" customFormat="false" ht="63.75" hidden="false" customHeight="true" outlineLevel="0" collapsed="false">
      <c r="A12" s="18" t="s">
        <v>748</v>
      </c>
      <c r="B12" s="18" t="s">
        <v>749</v>
      </c>
      <c r="C12" s="19" t="s">
        <v>754</v>
      </c>
      <c r="D12" s="20" t="s">
        <v>755</v>
      </c>
      <c r="E12" s="21" t="n">
        <v>2</v>
      </c>
      <c r="F12" s="22" t="s">
        <v>60</v>
      </c>
      <c r="G12" s="20"/>
      <c r="H12" s="20"/>
    </row>
    <row r="13" customFormat="false" ht="63.75" hidden="false" customHeight="true" outlineLevel="0" collapsed="false">
      <c r="A13" s="25" t="s">
        <v>748</v>
      </c>
      <c r="B13" s="25" t="s">
        <v>749</v>
      </c>
      <c r="C13" s="26" t="s">
        <v>756</v>
      </c>
      <c r="D13" s="27" t="s">
        <v>757</v>
      </c>
      <c r="E13" s="21" t="n">
        <v>2</v>
      </c>
      <c r="F13" s="22" t="s">
        <v>60</v>
      </c>
      <c r="G13" s="27"/>
      <c r="H13" s="27"/>
    </row>
    <row r="14" customFormat="false" ht="63.75" hidden="false" customHeight="true" outlineLevel="0" collapsed="false">
      <c r="A14" s="18" t="s">
        <v>748</v>
      </c>
      <c r="B14" s="18" t="s">
        <v>749</v>
      </c>
      <c r="C14" s="19" t="s">
        <v>758</v>
      </c>
      <c r="D14" s="20" t="s">
        <v>759</v>
      </c>
      <c r="E14" s="31" t="n">
        <v>3</v>
      </c>
      <c r="F14" s="22" t="s">
        <v>60</v>
      </c>
      <c r="G14" s="20"/>
      <c r="H14" s="20"/>
    </row>
    <row r="15" customFormat="false" ht="15" hidden="false" customHeight="false" outlineLevel="0" collapsed="false">
      <c r="A15" s="17" t="s">
        <v>760</v>
      </c>
      <c r="B15" s="17" t="s">
        <v>761</v>
      </c>
      <c r="C15" s="17"/>
      <c r="D15" s="17"/>
      <c r="E15" s="17"/>
      <c r="F15" s="17"/>
      <c r="G15" s="17"/>
      <c r="H15" s="17"/>
    </row>
    <row r="16" customFormat="false" ht="31.5" hidden="false" customHeight="true" outlineLevel="0" collapsed="false">
      <c r="A16" s="18" t="s">
        <v>760</v>
      </c>
      <c r="B16" s="18" t="s">
        <v>761</v>
      </c>
      <c r="C16" s="19" t="s">
        <v>762</v>
      </c>
      <c r="D16" s="20" t="s">
        <v>763</v>
      </c>
      <c r="E16" s="30" t="n">
        <v>1</v>
      </c>
      <c r="F16" s="22" t="s">
        <v>60</v>
      </c>
      <c r="G16" s="20"/>
      <c r="H16" s="20"/>
    </row>
    <row r="17" customFormat="false" ht="79.5" hidden="false" customHeight="true" outlineLevel="0" collapsed="false">
      <c r="A17" s="25" t="s">
        <v>760</v>
      </c>
      <c r="B17" s="25" t="s">
        <v>761</v>
      </c>
      <c r="C17" s="26" t="s">
        <v>764</v>
      </c>
      <c r="D17" s="27" t="s">
        <v>765</v>
      </c>
      <c r="E17" s="30" t="n">
        <v>1</v>
      </c>
      <c r="F17" s="22" t="s">
        <v>60</v>
      </c>
      <c r="G17" s="27"/>
      <c r="H17" s="27"/>
    </row>
    <row r="18" customFormat="false" ht="48" hidden="false" customHeight="true" outlineLevel="0" collapsed="false">
      <c r="A18" s="18" t="s">
        <v>760</v>
      </c>
      <c r="B18" s="18" t="s">
        <v>761</v>
      </c>
      <c r="C18" s="19" t="s">
        <v>766</v>
      </c>
      <c r="D18" s="20" t="s">
        <v>767</v>
      </c>
      <c r="E18" s="30" t="n">
        <v>1</v>
      </c>
      <c r="F18" s="22" t="s">
        <v>60</v>
      </c>
      <c r="G18" s="20"/>
      <c r="H18" s="20"/>
    </row>
    <row r="19" customFormat="false" ht="63.75" hidden="false" customHeight="true" outlineLevel="0" collapsed="false">
      <c r="A19" s="25" t="s">
        <v>760</v>
      </c>
      <c r="B19" s="25" t="s">
        <v>761</v>
      </c>
      <c r="C19" s="26" t="s">
        <v>768</v>
      </c>
      <c r="D19" s="27" t="s">
        <v>769</v>
      </c>
      <c r="E19" s="30" t="n">
        <v>1</v>
      </c>
      <c r="F19" s="22" t="s">
        <v>60</v>
      </c>
      <c r="G19" s="27"/>
      <c r="H19" s="27"/>
    </row>
    <row r="20" customFormat="false" ht="127.5" hidden="false" customHeight="true" outlineLevel="0" collapsed="false">
      <c r="A20" s="18" t="s">
        <v>760</v>
      </c>
      <c r="B20" s="18" t="s">
        <v>761</v>
      </c>
      <c r="C20" s="19" t="s">
        <v>770</v>
      </c>
      <c r="D20" s="20" t="s">
        <v>771</v>
      </c>
      <c r="E20" s="30" t="n">
        <v>1</v>
      </c>
      <c r="F20" s="22" t="s">
        <v>60</v>
      </c>
      <c r="G20" s="20"/>
      <c r="H20" s="20"/>
    </row>
    <row r="21" customFormat="false" ht="96" hidden="false" customHeight="true" outlineLevel="0" collapsed="false">
      <c r="A21" s="25" t="s">
        <v>760</v>
      </c>
      <c r="B21" s="25" t="s">
        <v>761</v>
      </c>
      <c r="C21" s="26" t="s">
        <v>772</v>
      </c>
      <c r="D21" s="27" t="s">
        <v>773</v>
      </c>
      <c r="E21" s="21" t="n">
        <v>2</v>
      </c>
      <c r="F21" s="22" t="s">
        <v>60</v>
      </c>
      <c r="G21" s="27"/>
      <c r="H21" s="27"/>
    </row>
    <row r="22" customFormat="false" ht="79.5" hidden="false" customHeight="true" outlineLevel="0" collapsed="false">
      <c r="A22" s="18" t="s">
        <v>760</v>
      </c>
      <c r="B22" s="18" t="s">
        <v>761</v>
      </c>
      <c r="C22" s="19" t="s">
        <v>774</v>
      </c>
      <c r="D22" s="20" t="s">
        <v>775</v>
      </c>
      <c r="E22" s="21" t="n">
        <v>2</v>
      </c>
      <c r="F22" s="22" t="s">
        <v>60</v>
      </c>
      <c r="G22" s="20"/>
      <c r="H22" s="20"/>
    </row>
    <row r="23" customFormat="false" ht="31.5" hidden="false" customHeight="true" outlineLevel="0" collapsed="false">
      <c r="A23" s="25" t="s">
        <v>760</v>
      </c>
      <c r="B23" s="25" t="s">
        <v>761</v>
      </c>
      <c r="C23" s="26" t="s">
        <v>776</v>
      </c>
      <c r="D23" s="27" t="s">
        <v>777</v>
      </c>
      <c r="E23" s="21" t="n">
        <v>2</v>
      </c>
      <c r="F23" s="22" t="s">
        <v>60</v>
      </c>
      <c r="G23" s="27"/>
      <c r="H23" s="27"/>
    </row>
    <row r="24" customFormat="false" ht="48" hidden="false" customHeight="true" outlineLevel="0" collapsed="false">
      <c r="A24" s="18" t="s">
        <v>760</v>
      </c>
      <c r="B24" s="18" t="s">
        <v>761</v>
      </c>
      <c r="C24" s="19" t="s">
        <v>778</v>
      </c>
      <c r="D24" s="20" t="s">
        <v>779</v>
      </c>
      <c r="E24" s="21" t="n">
        <v>2</v>
      </c>
      <c r="F24" s="22" t="s">
        <v>60</v>
      </c>
      <c r="G24" s="20"/>
      <c r="H24" s="20"/>
    </row>
    <row r="25" customFormat="false" ht="48" hidden="false" customHeight="true" outlineLevel="0" collapsed="false">
      <c r="A25" s="25" t="s">
        <v>760</v>
      </c>
      <c r="B25" s="25" t="s">
        <v>761</v>
      </c>
      <c r="C25" s="26" t="s">
        <v>780</v>
      </c>
      <c r="D25" s="27" t="s">
        <v>781</v>
      </c>
      <c r="E25" s="21" t="n">
        <v>2</v>
      </c>
      <c r="F25" s="22" t="s">
        <v>60</v>
      </c>
      <c r="G25" s="27"/>
      <c r="H25" s="27"/>
    </row>
    <row r="26" customFormat="false" ht="31.5" hidden="false" customHeight="true" outlineLevel="0" collapsed="false">
      <c r="A26" s="18" t="s">
        <v>760</v>
      </c>
      <c r="B26" s="18" t="s">
        <v>761</v>
      </c>
      <c r="C26" s="19" t="s">
        <v>782</v>
      </c>
      <c r="D26" s="20" t="s">
        <v>783</v>
      </c>
      <c r="E26" s="21" t="n">
        <v>2</v>
      </c>
      <c r="F26" s="22" t="s">
        <v>60</v>
      </c>
      <c r="G26" s="20"/>
      <c r="H26" s="20"/>
    </row>
    <row r="27" customFormat="false" ht="79.5" hidden="false" customHeight="true" outlineLevel="0" collapsed="false">
      <c r="A27" s="25" t="s">
        <v>760</v>
      </c>
      <c r="B27" s="25" t="s">
        <v>761</v>
      </c>
      <c r="C27" s="26" t="s">
        <v>784</v>
      </c>
      <c r="D27" s="27" t="s">
        <v>785</v>
      </c>
      <c r="E27" s="31" t="n">
        <v>3</v>
      </c>
      <c r="F27" s="22" t="s">
        <v>60</v>
      </c>
      <c r="G27" s="27"/>
      <c r="H27" s="27"/>
    </row>
    <row r="28" customFormat="false" ht="31.5" hidden="false" customHeight="true" outlineLevel="0" collapsed="false">
      <c r="A28" s="18" t="s">
        <v>760</v>
      </c>
      <c r="B28" s="18" t="s">
        <v>761</v>
      </c>
      <c r="C28" s="19" t="s">
        <v>786</v>
      </c>
      <c r="D28" s="20" t="s">
        <v>787</v>
      </c>
      <c r="E28" s="31" t="n">
        <v>3</v>
      </c>
      <c r="F28" s="22" t="s">
        <v>60</v>
      </c>
      <c r="G28" s="20"/>
      <c r="H28" s="20"/>
    </row>
    <row r="29" customFormat="false" ht="63.75" hidden="false" customHeight="true" outlineLevel="0" collapsed="false">
      <c r="A29" s="25" t="s">
        <v>760</v>
      </c>
      <c r="B29" s="25" t="s">
        <v>761</v>
      </c>
      <c r="C29" s="26" t="s">
        <v>788</v>
      </c>
      <c r="D29" s="27" t="s">
        <v>789</v>
      </c>
      <c r="E29" s="31" t="n">
        <v>3</v>
      </c>
      <c r="F29" s="22" t="s">
        <v>60</v>
      </c>
      <c r="G29" s="27"/>
      <c r="H29" s="27"/>
    </row>
    <row r="30" customFormat="false" ht="79.5" hidden="false" customHeight="true" outlineLevel="0" collapsed="false">
      <c r="A30" s="18" t="s">
        <v>760</v>
      </c>
      <c r="B30" s="18" t="s">
        <v>761</v>
      </c>
      <c r="C30" s="19" t="s">
        <v>790</v>
      </c>
      <c r="D30" s="20" t="s">
        <v>791</v>
      </c>
      <c r="E30" s="31" t="n">
        <v>3</v>
      </c>
      <c r="F30" s="22" t="s">
        <v>60</v>
      </c>
      <c r="G30" s="20"/>
      <c r="H30" s="20"/>
    </row>
    <row r="31" customFormat="false" ht="79.5" hidden="false" customHeight="true" outlineLevel="0" collapsed="false">
      <c r="A31" s="25" t="s">
        <v>760</v>
      </c>
      <c r="B31" s="25" t="s">
        <v>761</v>
      </c>
      <c r="C31" s="26" t="s">
        <v>792</v>
      </c>
      <c r="D31" s="27" t="s">
        <v>793</v>
      </c>
      <c r="E31" s="31" t="n">
        <v>3</v>
      </c>
      <c r="F31" s="22" t="s">
        <v>60</v>
      </c>
      <c r="G31" s="27"/>
      <c r="H31" s="27"/>
    </row>
    <row r="32" customFormat="false" ht="15" hidden="false" customHeight="false" outlineLevel="0" collapsed="false">
      <c r="A32" s="17" t="s">
        <v>794</v>
      </c>
      <c r="B32" s="17" t="s">
        <v>795</v>
      </c>
      <c r="C32" s="17"/>
      <c r="D32" s="17"/>
      <c r="E32" s="17"/>
      <c r="F32" s="17"/>
      <c r="G32" s="17"/>
      <c r="H32" s="17"/>
    </row>
    <row r="33" customFormat="false" ht="79.5" hidden="false" customHeight="true" outlineLevel="0" collapsed="false">
      <c r="A33" s="18" t="s">
        <v>794</v>
      </c>
      <c r="B33" s="18" t="s">
        <v>795</v>
      </c>
      <c r="C33" s="19" t="s">
        <v>796</v>
      </c>
      <c r="D33" s="20" t="s">
        <v>797</v>
      </c>
      <c r="E33" s="21" t="n">
        <v>2</v>
      </c>
      <c r="F33" s="22" t="s">
        <v>60</v>
      </c>
      <c r="G33" s="20"/>
      <c r="H33" s="20"/>
    </row>
    <row r="34" customFormat="false" ht="48" hidden="false" customHeight="true" outlineLevel="0" collapsed="false">
      <c r="A34" s="25" t="s">
        <v>794</v>
      </c>
      <c r="B34" s="25" t="s">
        <v>795</v>
      </c>
      <c r="C34" s="26" t="s">
        <v>798</v>
      </c>
      <c r="D34" s="27" t="s">
        <v>799</v>
      </c>
      <c r="E34" s="21" t="n">
        <v>2</v>
      </c>
      <c r="F34" s="22" t="s">
        <v>60</v>
      </c>
      <c r="G34" s="27"/>
      <c r="H34" s="27"/>
    </row>
    <row r="35" customFormat="false" ht="79.5" hidden="false" customHeight="true" outlineLevel="0" collapsed="false">
      <c r="A35" s="18" t="s">
        <v>794</v>
      </c>
      <c r="B35" s="18" t="s">
        <v>795</v>
      </c>
      <c r="C35" s="19" t="s">
        <v>800</v>
      </c>
      <c r="D35" s="20" t="s">
        <v>801</v>
      </c>
      <c r="E35" s="21" t="n">
        <v>2</v>
      </c>
      <c r="F35" s="22" t="s">
        <v>60</v>
      </c>
      <c r="G35" s="20"/>
      <c r="H35" s="20"/>
    </row>
    <row r="36" customFormat="false" ht="48" hidden="false" customHeight="true" outlineLevel="0" collapsed="false">
      <c r="A36" s="25" t="s">
        <v>794</v>
      </c>
      <c r="B36" s="25" t="s">
        <v>795</v>
      </c>
      <c r="C36" s="26" t="s">
        <v>802</v>
      </c>
      <c r="D36" s="27" t="s">
        <v>803</v>
      </c>
      <c r="E36" s="21" t="n">
        <v>2</v>
      </c>
      <c r="F36" s="22" t="s">
        <v>60</v>
      </c>
      <c r="G36" s="27"/>
      <c r="H36" s="27"/>
    </row>
    <row r="37" customFormat="false" ht="96" hidden="false" customHeight="true" outlineLevel="0" collapsed="false">
      <c r="A37" s="18" t="s">
        <v>794</v>
      </c>
      <c r="B37" s="18" t="s">
        <v>795</v>
      </c>
      <c r="C37" s="19" t="s">
        <v>804</v>
      </c>
      <c r="D37" s="20" t="s">
        <v>805</v>
      </c>
      <c r="E37" s="21" t="n">
        <v>2</v>
      </c>
      <c r="F37" s="22" t="s">
        <v>60</v>
      </c>
      <c r="G37" s="20"/>
      <c r="H37" s="20"/>
    </row>
    <row r="38" customFormat="false" ht="15" hidden="false" customHeight="false" outlineLevel="0" collapsed="false">
      <c r="A38" s="17" t="s">
        <v>806</v>
      </c>
      <c r="B38" s="17" t="s">
        <v>807</v>
      </c>
      <c r="C38" s="17"/>
      <c r="D38" s="17"/>
      <c r="E38" s="17"/>
      <c r="F38" s="17"/>
      <c r="G38" s="17"/>
      <c r="H38" s="17"/>
    </row>
    <row r="39" customFormat="false" ht="63.75" hidden="false" customHeight="true" outlineLevel="0" collapsed="false">
      <c r="A39" s="18" t="s">
        <v>806</v>
      </c>
      <c r="B39" s="18" t="s">
        <v>807</v>
      </c>
      <c r="C39" s="19" t="s">
        <v>808</v>
      </c>
      <c r="D39" s="20" t="s">
        <v>809</v>
      </c>
      <c r="E39" s="21" t="n">
        <v>2</v>
      </c>
      <c r="F39" s="22" t="s">
        <v>60</v>
      </c>
      <c r="G39" s="20"/>
      <c r="H39" s="20"/>
    </row>
    <row r="40" customFormat="false" ht="63.75" hidden="false" customHeight="true" outlineLevel="0" collapsed="false">
      <c r="A40" s="25" t="s">
        <v>806</v>
      </c>
      <c r="B40" s="25" t="s">
        <v>807</v>
      </c>
      <c r="C40" s="26" t="s">
        <v>810</v>
      </c>
      <c r="D40" s="27" t="s">
        <v>811</v>
      </c>
      <c r="E40" s="21" t="n">
        <v>2</v>
      </c>
      <c r="F40" s="22" t="s">
        <v>60</v>
      </c>
      <c r="G40" s="27"/>
      <c r="H40" s="27"/>
    </row>
    <row r="41" customFormat="false" ht="15" hidden="false" customHeight="false" outlineLevel="0" collapsed="false">
      <c r="A41" s="17" t="s">
        <v>812</v>
      </c>
      <c r="B41" s="17" t="s">
        <v>813</v>
      </c>
      <c r="C41" s="17"/>
      <c r="D41" s="17"/>
      <c r="E41" s="17"/>
      <c r="F41" s="17"/>
      <c r="G41" s="17"/>
      <c r="H41" s="17"/>
    </row>
    <row r="42" customFormat="false" ht="48" hidden="false" customHeight="true" outlineLevel="0" collapsed="false">
      <c r="A42" s="18" t="s">
        <v>812</v>
      </c>
      <c r="B42" s="18" t="s">
        <v>813</v>
      </c>
      <c r="C42" s="19" t="s">
        <v>814</v>
      </c>
      <c r="D42" s="20" t="s">
        <v>815</v>
      </c>
      <c r="E42" s="21" t="n">
        <v>2</v>
      </c>
      <c r="F42" s="22" t="s">
        <v>60</v>
      </c>
      <c r="G42" s="20"/>
      <c r="H42" s="20"/>
    </row>
    <row r="43" customFormat="false" ht="96" hidden="false" customHeight="true" outlineLevel="0" collapsed="false">
      <c r="A43" s="25" t="s">
        <v>812</v>
      </c>
      <c r="B43" s="25" t="s">
        <v>813</v>
      </c>
      <c r="C43" s="26" t="s">
        <v>816</v>
      </c>
      <c r="D43" s="27" t="s">
        <v>817</v>
      </c>
      <c r="E43" s="21" t="n">
        <v>2</v>
      </c>
      <c r="F43" s="22" t="s">
        <v>60</v>
      </c>
      <c r="G43" s="27"/>
      <c r="H43" s="27"/>
    </row>
    <row r="44" customFormat="false" ht="31.5" hidden="false" customHeight="true" outlineLevel="0" collapsed="false">
      <c r="A44" s="18" t="s">
        <v>812</v>
      </c>
      <c r="B44" s="18" t="s">
        <v>813</v>
      </c>
      <c r="C44" s="19" t="s">
        <v>818</v>
      </c>
      <c r="D44" s="20" t="s">
        <v>819</v>
      </c>
      <c r="E44" s="21" t="n">
        <v>2</v>
      </c>
      <c r="F44" s="22" t="s">
        <v>60</v>
      </c>
      <c r="G44" s="20"/>
      <c r="H44" s="20"/>
    </row>
  </sheetData>
  <conditionalFormatting sqref="F2:F44">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44"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3" activePane="bottomLeft" state="frozen"/>
      <selection pane="topLeft" activeCell="A1" activeCellId="0" sqref="A1"/>
      <selection pane="bottomLeft" activeCell="H36" activeCellId="0" sqref="H36"/>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820</v>
      </c>
      <c r="B2" s="17" t="s">
        <v>821</v>
      </c>
      <c r="C2" s="17"/>
      <c r="D2" s="17"/>
      <c r="E2" s="17"/>
      <c r="F2" s="17"/>
      <c r="G2" s="17"/>
      <c r="H2" s="17"/>
    </row>
    <row r="3" customFormat="false" ht="30" hidden="false" customHeight="true" outlineLevel="0" collapsed="false">
      <c r="A3" s="18" t="s">
        <v>820</v>
      </c>
      <c r="B3" s="18" t="s">
        <v>821</v>
      </c>
      <c r="C3" s="19" t="s">
        <v>822</v>
      </c>
      <c r="D3" s="20" t="s">
        <v>823</v>
      </c>
      <c r="E3" s="21" t="n">
        <v>2</v>
      </c>
      <c r="F3" s="22" t="s">
        <v>60</v>
      </c>
      <c r="G3" s="20"/>
      <c r="H3" s="20"/>
    </row>
    <row r="4" customFormat="false" ht="30" hidden="false" customHeight="true" outlineLevel="0" collapsed="false">
      <c r="A4" s="25" t="s">
        <v>820</v>
      </c>
      <c r="B4" s="25" t="s">
        <v>821</v>
      </c>
      <c r="C4" s="26" t="s">
        <v>824</v>
      </c>
      <c r="D4" s="27" t="s">
        <v>825</v>
      </c>
      <c r="E4" s="21" t="n">
        <v>2</v>
      </c>
      <c r="F4" s="22" t="s">
        <v>205</v>
      </c>
      <c r="G4" s="27" t="s">
        <v>826</v>
      </c>
      <c r="H4" s="27" t="s">
        <v>827</v>
      </c>
    </row>
    <row r="5" customFormat="false" ht="30" hidden="false" customHeight="true" outlineLevel="0" collapsed="false">
      <c r="A5" s="18" t="s">
        <v>820</v>
      </c>
      <c r="B5" s="18" t="s">
        <v>821</v>
      </c>
      <c r="C5" s="19" t="s">
        <v>828</v>
      </c>
      <c r="D5" s="20" t="s">
        <v>829</v>
      </c>
      <c r="E5" s="31" t="n">
        <v>3</v>
      </c>
      <c r="F5" s="22" t="s">
        <v>60</v>
      </c>
      <c r="G5" s="20"/>
      <c r="H5" s="20"/>
    </row>
    <row r="6" customFormat="false" ht="30" hidden="false" customHeight="true" outlineLevel="0" collapsed="false">
      <c r="A6" s="25" t="s">
        <v>820</v>
      </c>
      <c r="B6" s="25" t="s">
        <v>821</v>
      </c>
      <c r="C6" s="26" t="s">
        <v>830</v>
      </c>
      <c r="D6" s="27" t="s">
        <v>831</v>
      </c>
      <c r="E6" s="31" t="n">
        <v>3</v>
      </c>
      <c r="F6" s="22" t="s">
        <v>60</v>
      </c>
      <c r="G6" s="27"/>
      <c r="H6" s="27"/>
    </row>
    <row r="7" customFormat="false" ht="18" hidden="false" customHeight="true" outlineLevel="0" collapsed="false">
      <c r="A7" s="17" t="s">
        <v>832</v>
      </c>
      <c r="B7" s="17" t="s">
        <v>833</v>
      </c>
      <c r="C7" s="17"/>
      <c r="D7" s="17"/>
      <c r="E7" s="17"/>
      <c r="F7" s="17"/>
      <c r="G7" s="17"/>
      <c r="H7" s="17"/>
    </row>
    <row r="8" customFormat="false" ht="30" hidden="false" customHeight="true" outlineLevel="0" collapsed="false">
      <c r="A8" s="18" t="s">
        <v>832</v>
      </c>
      <c r="B8" s="18" t="s">
        <v>833</v>
      </c>
      <c r="C8" s="19" t="s">
        <v>834</v>
      </c>
      <c r="D8" s="20" t="s">
        <v>835</v>
      </c>
      <c r="E8" s="21" t="n">
        <v>2</v>
      </c>
      <c r="F8" s="22" t="s">
        <v>45</v>
      </c>
      <c r="G8" s="20" t="s">
        <v>836</v>
      </c>
      <c r="H8" s="20" t="s">
        <v>837</v>
      </c>
    </row>
    <row r="9" customFormat="false" ht="30" hidden="false" customHeight="true" outlineLevel="0" collapsed="false">
      <c r="A9" s="25" t="s">
        <v>832</v>
      </c>
      <c r="B9" s="25" t="s">
        <v>833</v>
      </c>
      <c r="C9" s="26" t="s">
        <v>838</v>
      </c>
      <c r="D9" s="27" t="s">
        <v>839</v>
      </c>
      <c r="E9" s="21" t="n">
        <v>2</v>
      </c>
      <c r="F9" s="22" t="s">
        <v>205</v>
      </c>
      <c r="G9" s="27"/>
      <c r="H9" s="27"/>
    </row>
    <row r="10" customFormat="false" ht="30" hidden="false" customHeight="true" outlineLevel="0" collapsed="false">
      <c r="A10" s="18" t="s">
        <v>832</v>
      </c>
      <c r="B10" s="18" t="s">
        <v>833</v>
      </c>
      <c r="C10" s="19" t="s">
        <v>840</v>
      </c>
      <c r="D10" s="20" t="s">
        <v>841</v>
      </c>
      <c r="E10" s="21" t="n">
        <v>2</v>
      </c>
      <c r="F10" s="22" t="s">
        <v>205</v>
      </c>
      <c r="G10" s="20"/>
      <c r="H10" s="20"/>
    </row>
    <row r="11" customFormat="false" ht="30" hidden="false" customHeight="true" outlineLevel="0" collapsed="false">
      <c r="A11" s="25" t="s">
        <v>832</v>
      </c>
      <c r="B11" s="25" t="s">
        <v>833</v>
      </c>
      <c r="C11" s="26" t="s">
        <v>842</v>
      </c>
      <c r="D11" s="27" t="s">
        <v>843</v>
      </c>
      <c r="E11" s="31" t="n">
        <v>3</v>
      </c>
      <c r="F11" s="22" t="s">
        <v>45</v>
      </c>
      <c r="G11" s="27" t="s">
        <v>844</v>
      </c>
      <c r="H11" s="27" t="s">
        <v>845</v>
      </c>
    </row>
    <row r="12" customFormat="false" ht="30" hidden="false" customHeight="true" outlineLevel="0" collapsed="false">
      <c r="A12" s="18" t="s">
        <v>832</v>
      </c>
      <c r="B12" s="18" t="s">
        <v>833</v>
      </c>
      <c r="C12" s="19" t="s">
        <v>846</v>
      </c>
      <c r="D12" s="20" t="s">
        <v>847</v>
      </c>
      <c r="E12" s="31" t="n">
        <v>3</v>
      </c>
      <c r="F12" s="22" t="s">
        <v>45</v>
      </c>
      <c r="G12" s="20" t="s">
        <v>848</v>
      </c>
      <c r="H12" s="20"/>
    </row>
    <row r="13" customFormat="false" ht="18" hidden="false" customHeight="true" outlineLevel="0" collapsed="false">
      <c r="A13" s="17" t="s">
        <v>849</v>
      </c>
      <c r="B13" s="17" t="s">
        <v>850</v>
      </c>
      <c r="C13" s="17"/>
      <c r="D13" s="17"/>
      <c r="E13" s="17"/>
      <c r="F13" s="17"/>
      <c r="G13" s="17"/>
      <c r="H13" s="17"/>
    </row>
    <row r="14" customFormat="false" ht="30" hidden="false" customHeight="true" outlineLevel="0" collapsed="false">
      <c r="A14" s="18" t="s">
        <v>849</v>
      </c>
      <c r="B14" s="18" t="s">
        <v>850</v>
      </c>
      <c r="C14" s="19" t="s">
        <v>851</v>
      </c>
      <c r="D14" s="20" t="s">
        <v>852</v>
      </c>
      <c r="E14" s="30" t="n">
        <v>1</v>
      </c>
      <c r="F14" s="22" t="s">
        <v>45</v>
      </c>
      <c r="G14" s="20" t="s">
        <v>853</v>
      </c>
      <c r="H14" s="20"/>
    </row>
    <row r="15" customFormat="false" ht="30" hidden="false" customHeight="true" outlineLevel="0" collapsed="false">
      <c r="A15" s="25" t="s">
        <v>849</v>
      </c>
      <c r="B15" s="25" t="s">
        <v>850</v>
      </c>
      <c r="C15" s="26" t="s">
        <v>854</v>
      </c>
      <c r="D15" s="27" t="s">
        <v>855</v>
      </c>
      <c r="E15" s="30" t="n">
        <v>1</v>
      </c>
      <c r="F15" s="22" t="s">
        <v>205</v>
      </c>
      <c r="G15" s="27" t="s">
        <v>856</v>
      </c>
      <c r="H15" s="27" t="s">
        <v>857</v>
      </c>
    </row>
    <row r="16" customFormat="false" ht="30" hidden="false" customHeight="true" outlineLevel="0" collapsed="false">
      <c r="A16" s="18" t="s">
        <v>849</v>
      </c>
      <c r="B16" s="18" t="s">
        <v>850</v>
      </c>
      <c r="C16" s="19" t="s">
        <v>858</v>
      </c>
      <c r="D16" s="20" t="s">
        <v>859</v>
      </c>
      <c r="E16" s="21" t="n">
        <v>2</v>
      </c>
      <c r="F16" s="22" t="s">
        <v>205</v>
      </c>
      <c r="G16" s="20" t="s">
        <v>860</v>
      </c>
      <c r="H16" s="20"/>
    </row>
    <row r="17" customFormat="false" ht="30" hidden="false" customHeight="true" outlineLevel="0" collapsed="false">
      <c r="A17" s="25" t="s">
        <v>849</v>
      </c>
      <c r="B17" s="25" t="s">
        <v>850</v>
      </c>
      <c r="C17" s="26" t="s">
        <v>861</v>
      </c>
      <c r="D17" s="27" t="s">
        <v>862</v>
      </c>
      <c r="E17" s="31" t="n">
        <v>3</v>
      </c>
      <c r="F17" s="22" t="s">
        <v>60</v>
      </c>
      <c r="G17" s="27"/>
      <c r="H17" s="27"/>
    </row>
    <row r="18" customFormat="false" ht="30" hidden="false" customHeight="true" outlineLevel="0" collapsed="false">
      <c r="A18" s="18" t="s">
        <v>849</v>
      </c>
      <c r="B18" s="18" t="s">
        <v>850</v>
      </c>
      <c r="C18" s="19" t="s">
        <v>863</v>
      </c>
      <c r="D18" s="20" t="s">
        <v>864</v>
      </c>
      <c r="E18" s="31" t="n">
        <v>3</v>
      </c>
      <c r="F18" s="22" t="s">
        <v>60</v>
      </c>
      <c r="G18" s="20"/>
      <c r="H18" s="20"/>
    </row>
    <row r="19" customFormat="false" ht="18" hidden="false" customHeight="true" outlineLevel="0" collapsed="false">
      <c r="A19" s="17" t="s">
        <v>865</v>
      </c>
      <c r="B19" s="17" t="s">
        <v>866</v>
      </c>
      <c r="C19" s="17"/>
      <c r="D19" s="17"/>
      <c r="E19" s="17"/>
      <c r="F19" s="17"/>
      <c r="G19" s="17"/>
      <c r="H19" s="17"/>
    </row>
    <row r="20" customFormat="false" ht="30" hidden="false" customHeight="true" outlineLevel="0" collapsed="false">
      <c r="A20" s="18" t="s">
        <v>865</v>
      </c>
      <c r="B20" s="18" t="s">
        <v>866</v>
      </c>
      <c r="C20" s="19" t="s">
        <v>867</v>
      </c>
      <c r="D20" s="20" t="s">
        <v>868</v>
      </c>
      <c r="E20" s="30" t="n">
        <v>1</v>
      </c>
      <c r="F20" s="22" t="s">
        <v>45</v>
      </c>
      <c r="G20" s="20" t="s">
        <v>869</v>
      </c>
      <c r="H20" s="20" t="s">
        <v>870</v>
      </c>
    </row>
    <row r="21" customFormat="false" ht="30" hidden="false" customHeight="true" outlineLevel="0" collapsed="false">
      <c r="A21" s="25" t="s">
        <v>865</v>
      </c>
      <c r="B21" s="25" t="s">
        <v>866</v>
      </c>
      <c r="C21" s="26" t="s">
        <v>871</v>
      </c>
      <c r="D21" s="27" t="s">
        <v>872</v>
      </c>
      <c r="E21" s="21" t="n">
        <v>2</v>
      </c>
      <c r="F21" s="22" t="s">
        <v>45</v>
      </c>
      <c r="G21" s="27"/>
      <c r="H21" s="27" t="s">
        <v>500</v>
      </c>
    </row>
    <row r="22" customFormat="false" ht="30" hidden="false" customHeight="true" outlineLevel="0" collapsed="false">
      <c r="A22" s="18" t="s">
        <v>865</v>
      </c>
      <c r="B22" s="18" t="s">
        <v>866</v>
      </c>
      <c r="C22" s="19" t="s">
        <v>873</v>
      </c>
      <c r="D22" s="20" t="s">
        <v>874</v>
      </c>
      <c r="E22" s="21" t="n">
        <v>2</v>
      </c>
      <c r="F22" s="22" t="s">
        <v>45</v>
      </c>
      <c r="G22" s="20" t="s">
        <v>875</v>
      </c>
      <c r="H22" s="20" t="s">
        <v>876</v>
      </c>
    </row>
    <row r="23" customFormat="false" ht="30" hidden="false" customHeight="true" outlineLevel="0" collapsed="false">
      <c r="A23" s="25" t="s">
        <v>865</v>
      </c>
      <c r="B23" s="25" t="s">
        <v>866</v>
      </c>
      <c r="C23" s="26" t="s">
        <v>877</v>
      </c>
      <c r="D23" s="27" t="s">
        <v>878</v>
      </c>
      <c r="E23" s="21" t="n">
        <v>2</v>
      </c>
      <c r="F23" s="22" t="s">
        <v>205</v>
      </c>
      <c r="G23" s="27" t="s">
        <v>879</v>
      </c>
      <c r="H23" s="27"/>
    </row>
    <row r="24" customFormat="false" ht="18" hidden="false" customHeight="true" outlineLevel="0" collapsed="false">
      <c r="A24" s="17" t="s">
        <v>880</v>
      </c>
      <c r="B24" s="17" t="s">
        <v>881</v>
      </c>
      <c r="C24" s="17"/>
      <c r="D24" s="17"/>
      <c r="E24" s="17"/>
      <c r="F24" s="17"/>
      <c r="G24" s="17"/>
      <c r="H24" s="17"/>
    </row>
    <row r="25" customFormat="false" ht="30" hidden="false" customHeight="true" outlineLevel="0" collapsed="false">
      <c r="A25" s="18" t="s">
        <v>880</v>
      </c>
      <c r="B25" s="18" t="s">
        <v>881</v>
      </c>
      <c r="C25" s="19" t="s">
        <v>882</v>
      </c>
      <c r="D25" s="20" t="s">
        <v>883</v>
      </c>
      <c r="E25" s="21" t="n">
        <v>2</v>
      </c>
      <c r="F25" s="22" t="s">
        <v>45</v>
      </c>
      <c r="G25" s="20" t="s">
        <v>884</v>
      </c>
      <c r="H25" s="20"/>
    </row>
    <row r="26" customFormat="false" ht="30" hidden="false" customHeight="true" outlineLevel="0" collapsed="false">
      <c r="A26" s="25" t="s">
        <v>880</v>
      </c>
      <c r="B26" s="25" t="s">
        <v>881</v>
      </c>
      <c r="C26" s="26" t="s">
        <v>885</v>
      </c>
      <c r="D26" s="27" t="s">
        <v>886</v>
      </c>
      <c r="E26" s="31" t="n">
        <v>3</v>
      </c>
      <c r="F26" s="22" t="s">
        <v>45</v>
      </c>
      <c r="G26" s="27" t="s">
        <v>887</v>
      </c>
      <c r="H26" s="27" t="s">
        <v>888</v>
      </c>
    </row>
    <row r="27" customFormat="false" ht="18" hidden="false" customHeight="true" outlineLevel="0" collapsed="false">
      <c r="A27" s="17" t="s">
        <v>889</v>
      </c>
      <c r="B27" s="17" t="s">
        <v>890</v>
      </c>
      <c r="C27" s="17"/>
      <c r="D27" s="17"/>
      <c r="E27" s="17"/>
      <c r="F27" s="17"/>
      <c r="G27" s="17"/>
      <c r="H27" s="17"/>
    </row>
    <row r="28" customFormat="false" ht="30" hidden="false" customHeight="true" outlineLevel="0" collapsed="false">
      <c r="A28" s="18" t="s">
        <v>889</v>
      </c>
      <c r="B28" s="18" t="s">
        <v>890</v>
      </c>
      <c r="C28" s="19" t="s">
        <v>891</v>
      </c>
      <c r="D28" s="20" t="s">
        <v>892</v>
      </c>
      <c r="E28" s="21" t="n">
        <v>2</v>
      </c>
      <c r="F28" s="22" t="s">
        <v>45</v>
      </c>
      <c r="G28" s="20" t="s">
        <v>893</v>
      </c>
      <c r="H28" s="20"/>
    </row>
    <row r="29" customFormat="false" ht="30" hidden="false" customHeight="true" outlineLevel="0" collapsed="false">
      <c r="A29" s="25" t="s">
        <v>889</v>
      </c>
      <c r="B29" s="25" t="s">
        <v>890</v>
      </c>
      <c r="C29" s="26" t="s">
        <v>894</v>
      </c>
      <c r="D29" s="27" t="s">
        <v>895</v>
      </c>
      <c r="E29" s="31" t="n">
        <v>3</v>
      </c>
      <c r="F29" s="22" t="s">
        <v>60</v>
      </c>
      <c r="G29" s="27"/>
      <c r="H29" s="27"/>
    </row>
    <row r="30" customFormat="false" ht="18" hidden="false" customHeight="true" outlineLevel="0" collapsed="false">
      <c r="A30" s="17" t="s">
        <v>896</v>
      </c>
      <c r="B30" s="17" t="s">
        <v>897</v>
      </c>
      <c r="C30" s="17"/>
      <c r="D30" s="17"/>
      <c r="E30" s="17"/>
      <c r="F30" s="17"/>
      <c r="G30" s="17"/>
      <c r="H30" s="17"/>
    </row>
    <row r="31" customFormat="false" ht="30" hidden="false" customHeight="true" outlineLevel="0" collapsed="false">
      <c r="A31" s="18" t="s">
        <v>896</v>
      </c>
      <c r="B31" s="18" t="s">
        <v>897</v>
      </c>
      <c r="C31" s="19" t="s">
        <v>898</v>
      </c>
      <c r="D31" s="20" t="s">
        <v>899</v>
      </c>
      <c r="E31" s="31" t="n">
        <v>3</v>
      </c>
      <c r="F31" s="22" t="s">
        <v>60</v>
      </c>
      <c r="G31" s="20"/>
      <c r="H31" s="20"/>
    </row>
    <row r="32" customFormat="false" ht="30" hidden="false" customHeight="true" outlineLevel="0" collapsed="false">
      <c r="A32" s="25" t="s">
        <v>896</v>
      </c>
      <c r="B32" s="25" t="s">
        <v>897</v>
      </c>
      <c r="C32" s="26" t="s">
        <v>900</v>
      </c>
      <c r="D32" s="27" t="s">
        <v>901</v>
      </c>
      <c r="E32" s="31" t="n">
        <v>3</v>
      </c>
      <c r="F32" s="22" t="s">
        <v>45</v>
      </c>
      <c r="G32" s="27" t="s">
        <v>902</v>
      </c>
      <c r="H32" s="27" t="s">
        <v>903</v>
      </c>
    </row>
  </sheetData>
  <conditionalFormatting sqref="F2:F32">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32"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18" activeCellId="0" sqref="H18"/>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904</v>
      </c>
      <c r="B2" s="17" t="s">
        <v>905</v>
      </c>
      <c r="C2" s="17"/>
      <c r="D2" s="17"/>
      <c r="E2" s="17"/>
      <c r="F2" s="17"/>
      <c r="G2" s="17"/>
      <c r="H2" s="17"/>
    </row>
    <row r="3" customFormat="false" ht="30" hidden="false" customHeight="true" outlineLevel="0" collapsed="false">
      <c r="A3" s="18" t="s">
        <v>904</v>
      </c>
      <c r="B3" s="18" t="s">
        <v>905</v>
      </c>
      <c r="C3" s="19" t="s">
        <v>906</v>
      </c>
      <c r="D3" s="20" t="s">
        <v>907</v>
      </c>
      <c r="E3" s="30" t="n">
        <v>1</v>
      </c>
      <c r="F3" s="22" t="s">
        <v>400</v>
      </c>
      <c r="G3" s="20" t="s">
        <v>908</v>
      </c>
      <c r="H3" s="20"/>
    </row>
    <row r="4" customFormat="false" ht="30" hidden="false" customHeight="true" outlineLevel="0" collapsed="false">
      <c r="A4" s="25" t="s">
        <v>904</v>
      </c>
      <c r="B4" s="25" t="s">
        <v>905</v>
      </c>
      <c r="C4" s="26" t="s">
        <v>909</v>
      </c>
      <c r="D4" s="27" t="s">
        <v>910</v>
      </c>
      <c r="E4" s="21" t="n">
        <v>2</v>
      </c>
      <c r="F4" s="22" t="s">
        <v>400</v>
      </c>
      <c r="G4" s="27" t="s">
        <v>908</v>
      </c>
      <c r="H4" s="27"/>
    </row>
    <row r="5" customFormat="false" ht="30" hidden="false" customHeight="true" outlineLevel="0" collapsed="false">
      <c r="A5" s="18" t="s">
        <v>904</v>
      </c>
      <c r="B5" s="18" t="s">
        <v>905</v>
      </c>
      <c r="C5" s="19" t="s">
        <v>911</v>
      </c>
      <c r="D5" s="20" t="s">
        <v>912</v>
      </c>
      <c r="E5" s="21" t="n">
        <v>2</v>
      </c>
      <c r="F5" s="22" t="s">
        <v>60</v>
      </c>
      <c r="G5" s="20"/>
      <c r="H5" s="20"/>
    </row>
    <row r="6" customFormat="false" ht="30" hidden="false" customHeight="true" outlineLevel="0" collapsed="false">
      <c r="A6" s="25" t="s">
        <v>904</v>
      </c>
      <c r="B6" s="25" t="s">
        <v>905</v>
      </c>
      <c r="C6" s="26" t="s">
        <v>913</v>
      </c>
      <c r="D6" s="27" t="s">
        <v>914</v>
      </c>
      <c r="E6" s="31" t="n">
        <v>3</v>
      </c>
      <c r="F6" s="22" t="s">
        <v>60</v>
      </c>
      <c r="G6" s="27"/>
      <c r="H6" s="27"/>
    </row>
    <row r="7" customFormat="false" ht="30" hidden="false" customHeight="true" outlineLevel="0" collapsed="false">
      <c r="A7" s="18" t="s">
        <v>904</v>
      </c>
      <c r="B7" s="18" t="s">
        <v>905</v>
      </c>
      <c r="C7" s="19" t="s">
        <v>915</v>
      </c>
      <c r="D7" s="20" t="s">
        <v>916</v>
      </c>
      <c r="E7" s="31" t="n">
        <v>3</v>
      </c>
      <c r="F7" s="22" t="s">
        <v>400</v>
      </c>
      <c r="G7" s="20"/>
      <c r="H7" s="20"/>
    </row>
    <row r="8" customFormat="false" ht="18" hidden="false" customHeight="true" outlineLevel="0" collapsed="false">
      <c r="A8" s="17" t="s">
        <v>917</v>
      </c>
      <c r="B8" s="17" t="s">
        <v>918</v>
      </c>
      <c r="C8" s="17"/>
      <c r="D8" s="17"/>
      <c r="E8" s="17"/>
      <c r="F8" s="17"/>
      <c r="G8" s="17"/>
      <c r="H8" s="17"/>
    </row>
    <row r="9" customFormat="false" ht="30" hidden="false" customHeight="true" outlineLevel="0" collapsed="false">
      <c r="A9" s="18" t="s">
        <v>917</v>
      </c>
      <c r="B9" s="18" t="s">
        <v>918</v>
      </c>
      <c r="C9" s="19" t="s">
        <v>919</v>
      </c>
      <c r="D9" s="20" t="s">
        <v>920</v>
      </c>
      <c r="E9" s="30" t="n">
        <v>1</v>
      </c>
      <c r="F9" s="22" t="s">
        <v>45</v>
      </c>
      <c r="G9" s="20" t="s">
        <v>921</v>
      </c>
      <c r="H9" s="20" t="s">
        <v>922</v>
      </c>
    </row>
    <row r="10" customFormat="false" ht="30" hidden="false" customHeight="true" outlineLevel="0" collapsed="false">
      <c r="A10" s="25" t="s">
        <v>917</v>
      </c>
      <c r="B10" s="25" t="s">
        <v>918</v>
      </c>
      <c r="C10" s="26" t="s">
        <v>923</v>
      </c>
      <c r="D10" s="27" t="s">
        <v>924</v>
      </c>
      <c r="E10" s="30" t="n">
        <v>1</v>
      </c>
      <c r="F10" s="22" t="s">
        <v>400</v>
      </c>
      <c r="G10" s="27" t="s">
        <v>908</v>
      </c>
      <c r="H10" s="27"/>
    </row>
    <row r="11" customFormat="false" ht="18" hidden="false" customHeight="true" outlineLevel="0" collapsed="false">
      <c r="A11" s="17" t="s">
        <v>925</v>
      </c>
      <c r="B11" s="17" t="s">
        <v>926</v>
      </c>
      <c r="C11" s="17"/>
      <c r="D11" s="17"/>
      <c r="E11" s="17"/>
      <c r="F11" s="17"/>
      <c r="G11" s="17"/>
      <c r="H11" s="17"/>
    </row>
    <row r="12" customFormat="false" ht="30" hidden="false" customHeight="true" outlineLevel="0" collapsed="false">
      <c r="A12" s="18" t="s">
        <v>925</v>
      </c>
      <c r="B12" s="18" t="s">
        <v>926</v>
      </c>
      <c r="C12" s="19" t="s">
        <v>927</v>
      </c>
      <c r="D12" s="20" t="s">
        <v>928</v>
      </c>
      <c r="E12" s="21" t="n">
        <v>2</v>
      </c>
      <c r="F12" s="22" t="s">
        <v>400</v>
      </c>
      <c r="G12" s="20" t="s">
        <v>908</v>
      </c>
      <c r="H12" s="20"/>
    </row>
    <row r="13" customFormat="false" ht="30" hidden="false" customHeight="true" outlineLevel="0" collapsed="false">
      <c r="A13" s="25" t="s">
        <v>925</v>
      </c>
      <c r="B13" s="25" t="s">
        <v>926</v>
      </c>
      <c r="C13" s="26" t="s">
        <v>929</v>
      </c>
      <c r="D13" s="27" t="s">
        <v>930</v>
      </c>
      <c r="E13" s="21" t="n">
        <v>2</v>
      </c>
      <c r="F13" s="22" t="s">
        <v>400</v>
      </c>
      <c r="G13" s="27" t="s">
        <v>908</v>
      </c>
      <c r="H13" s="27"/>
    </row>
    <row r="14" customFormat="false" ht="30" hidden="false" customHeight="true" outlineLevel="0" collapsed="false">
      <c r="A14" s="18" t="s">
        <v>925</v>
      </c>
      <c r="B14" s="18" t="s">
        <v>926</v>
      </c>
      <c r="C14" s="19" t="s">
        <v>931</v>
      </c>
      <c r="D14" s="20" t="s">
        <v>932</v>
      </c>
      <c r="E14" s="21" t="n">
        <v>2</v>
      </c>
      <c r="F14" s="22" t="s">
        <v>60</v>
      </c>
      <c r="G14" s="20" t="s">
        <v>933</v>
      </c>
      <c r="H14" s="20"/>
    </row>
    <row r="15" customFormat="false" ht="30" hidden="false" customHeight="true" outlineLevel="0" collapsed="false">
      <c r="A15" s="25" t="s">
        <v>925</v>
      </c>
      <c r="B15" s="25" t="s">
        <v>926</v>
      </c>
      <c r="C15" s="26" t="s">
        <v>934</v>
      </c>
      <c r="D15" s="27" t="s">
        <v>935</v>
      </c>
      <c r="E15" s="21" t="n">
        <v>2</v>
      </c>
      <c r="F15" s="22" t="s">
        <v>400</v>
      </c>
      <c r="G15" s="27" t="s">
        <v>908</v>
      </c>
      <c r="H15" s="27"/>
    </row>
    <row r="16" customFormat="false" ht="30" hidden="false" customHeight="true" outlineLevel="0" collapsed="false">
      <c r="A16" s="18" t="s">
        <v>925</v>
      </c>
      <c r="B16" s="18" t="s">
        <v>926</v>
      </c>
      <c r="C16" s="19" t="s">
        <v>936</v>
      </c>
      <c r="D16" s="20" t="s">
        <v>937</v>
      </c>
      <c r="E16" s="31" t="n">
        <v>3</v>
      </c>
      <c r="F16" s="22" t="s">
        <v>205</v>
      </c>
      <c r="G16" s="20" t="s">
        <v>938</v>
      </c>
      <c r="H16" s="20"/>
    </row>
  </sheetData>
  <conditionalFormatting sqref="F2:F16">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1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4" activePane="bottomLeft" state="frozen"/>
      <selection pane="topLeft" activeCell="A1" activeCellId="0" sqref="A1"/>
      <selection pane="bottomLeft" activeCell="F26" activeCellId="0" sqref="F26"/>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939</v>
      </c>
      <c r="B2" s="17" t="s">
        <v>940</v>
      </c>
      <c r="C2" s="17"/>
      <c r="D2" s="17"/>
      <c r="E2" s="17"/>
      <c r="F2" s="17"/>
      <c r="G2" s="17"/>
      <c r="H2" s="17"/>
    </row>
    <row r="3" customFormat="false" ht="30" hidden="false" customHeight="true" outlineLevel="0" collapsed="false">
      <c r="A3" s="18" t="s">
        <v>939</v>
      </c>
      <c r="B3" s="18" t="s">
        <v>940</v>
      </c>
      <c r="C3" s="19" t="s">
        <v>941</v>
      </c>
      <c r="D3" s="20" t="s">
        <v>942</v>
      </c>
      <c r="E3" s="21" t="n">
        <v>2</v>
      </c>
      <c r="F3" s="22" t="s">
        <v>45</v>
      </c>
      <c r="G3" s="20" t="s">
        <v>943</v>
      </c>
      <c r="H3" s="20"/>
    </row>
    <row r="4" customFormat="false" ht="30" hidden="false" customHeight="true" outlineLevel="0" collapsed="false">
      <c r="A4" s="25" t="s">
        <v>939</v>
      </c>
      <c r="B4" s="25" t="s">
        <v>940</v>
      </c>
      <c r="C4" s="26" t="s">
        <v>944</v>
      </c>
      <c r="D4" s="27" t="s">
        <v>945</v>
      </c>
      <c r="E4" s="31" t="n">
        <v>3</v>
      </c>
      <c r="F4" s="22" t="s">
        <v>60</v>
      </c>
      <c r="G4" s="27"/>
      <c r="H4" s="27"/>
    </row>
    <row r="5" customFormat="false" ht="30" hidden="false" customHeight="true" outlineLevel="0" collapsed="false">
      <c r="A5" s="18" t="s">
        <v>939</v>
      </c>
      <c r="B5" s="18" t="s">
        <v>940</v>
      </c>
      <c r="C5" s="19" t="s">
        <v>946</v>
      </c>
      <c r="D5" s="20" t="s">
        <v>947</v>
      </c>
      <c r="E5" s="31" t="n">
        <v>3</v>
      </c>
      <c r="F5" s="22" t="s">
        <v>60</v>
      </c>
      <c r="G5" s="20"/>
      <c r="H5" s="20"/>
    </row>
    <row r="6" customFormat="false" ht="30" hidden="false" customHeight="true" outlineLevel="0" collapsed="false">
      <c r="A6" s="25" t="s">
        <v>939</v>
      </c>
      <c r="B6" s="25" t="s">
        <v>940</v>
      </c>
      <c r="C6" s="26" t="s">
        <v>948</v>
      </c>
      <c r="D6" s="27" t="s">
        <v>949</v>
      </c>
      <c r="E6" s="31" t="n">
        <v>3</v>
      </c>
      <c r="F6" s="22" t="s">
        <v>60</v>
      </c>
      <c r="G6" s="27"/>
      <c r="H6" s="27"/>
    </row>
    <row r="7" customFormat="false" ht="18" hidden="false" customHeight="true" outlineLevel="0" collapsed="false">
      <c r="A7" s="17" t="s">
        <v>950</v>
      </c>
      <c r="B7" s="17" t="s">
        <v>951</v>
      </c>
      <c r="C7" s="17"/>
      <c r="D7" s="17"/>
      <c r="E7" s="17"/>
      <c r="F7" s="17"/>
      <c r="G7" s="17"/>
      <c r="H7" s="17"/>
    </row>
    <row r="8" customFormat="false" ht="30" hidden="false" customHeight="true" outlineLevel="0" collapsed="false">
      <c r="A8" s="18" t="s">
        <v>950</v>
      </c>
      <c r="B8" s="18" t="s">
        <v>951</v>
      </c>
      <c r="C8" s="19" t="s">
        <v>952</v>
      </c>
      <c r="D8" s="20" t="s">
        <v>953</v>
      </c>
      <c r="E8" s="21" t="n">
        <v>2</v>
      </c>
      <c r="F8" s="22" t="s">
        <v>60</v>
      </c>
      <c r="G8" s="20"/>
      <c r="H8" s="20"/>
    </row>
    <row r="9" customFormat="false" ht="30" hidden="false" customHeight="true" outlineLevel="0" collapsed="false">
      <c r="A9" s="25" t="s">
        <v>950</v>
      </c>
      <c r="B9" s="25" t="s">
        <v>951</v>
      </c>
      <c r="C9" s="26" t="s">
        <v>954</v>
      </c>
      <c r="D9" s="27" t="s">
        <v>955</v>
      </c>
      <c r="E9" s="21" t="n">
        <v>2</v>
      </c>
      <c r="F9" s="22" t="s">
        <v>60</v>
      </c>
      <c r="G9" s="27"/>
      <c r="H9" s="27"/>
    </row>
    <row r="10" customFormat="false" ht="30" hidden="false" customHeight="true" outlineLevel="0" collapsed="false">
      <c r="A10" s="18" t="s">
        <v>950</v>
      </c>
      <c r="B10" s="18" t="s">
        <v>951</v>
      </c>
      <c r="C10" s="19" t="s">
        <v>956</v>
      </c>
      <c r="D10" s="20" t="s">
        <v>957</v>
      </c>
      <c r="E10" s="21" t="n">
        <v>2</v>
      </c>
      <c r="F10" s="22" t="s">
        <v>60</v>
      </c>
      <c r="G10" s="20"/>
      <c r="H10" s="20"/>
    </row>
    <row r="11" customFormat="false" ht="30" hidden="false" customHeight="true" outlineLevel="0" collapsed="false">
      <c r="A11" s="25" t="s">
        <v>950</v>
      </c>
      <c r="B11" s="25" t="s">
        <v>951</v>
      </c>
      <c r="C11" s="26" t="s">
        <v>958</v>
      </c>
      <c r="D11" s="27" t="s">
        <v>959</v>
      </c>
      <c r="E11" s="21" t="n">
        <v>2</v>
      </c>
      <c r="F11" s="22" t="s">
        <v>60</v>
      </c>
      <c r="G11" s="27"/>
      <c r="H11" s="27"/>
    </row>
    <row r="12" customFormat="false" ht="30" hidden="false" customHeight="true" outlineLevel="0" collapsed="false">
      <c r="A12" s="18" t="s">
        <v>950</v>
      </c>
      <c r="B12" s="18" t="s">
        <v>951</v>
      </c>
      <c r="C12" s="19" t="s">
        <v>960</v>
      </c>
      <c r="D12" s="20" t="s">
        <v>961</v>
      </c>
      <c r="E12" s="21" t="n">
        <v>2</v>
      </c>
      <c r="F12" s="22" t="s">
        <v>60</v>
      </c>
      <c r="G12" s="20"/>
      <c r="H12" s="20"/>
    </row>
    <row r="13" customFormat="false" ht="30" hidden="false" customHeight="true" outlineLevel="0" collapsed="false">
      <c r="A13" s="25" t="s">
        <v>950</v>
      </c>
      <c r="B13" s="25" t="s">
        <v>951</v>
      </c>
      <c r="C13" s="26" t="s">
        <v>962</v>
      </c>
      <c r="D13" s="27" t="s">
        <v>963</v>
      </c>
      <c r="E13" s="31" t="n">
        <v>3</v>
      </c>
      <c r="F13" s="22" t="s">
        <v>60</v>
      </c>
      <c r="G13" s="27"/>
      <c r="H13" s="27"/>
    </row>
    <row r="14" customFormat="false" ht="18" hidden="false" customHeight="true" outlineLevel="0" collapsed="false">
      <c r="A14" s="17" t="s">
        <v>964</v>
      </c>
      <c r="B14" s="17" t="s">
        <v>965</v>
      </c>
      <c r="C14" s="17"/>
      <c r="D14" s="17"/>
      <c r="E14" s="17"/>
      <c r="F14" s="17"/>
      <c r="G14" s="17"/>
      <c r="H14" s="17"/>
    </row>
    <row r="15" customFormat="false" ht="30" hidden="false" customHeight="true" outlineLevel="0" collapsed="false">
      <c r="A15" s="18" t="s">
        <v>964</v>
      </c>
      <c r="B15" s="18" t="s">
        <v>965</v>
      </c>
      <c r="C15" s="19" t="s">
        <v>966</v>
      </c>
      <c r="D15" s="20" t="s">
        <v>967</v>
      </c>
      <c r="E15" s="21" t="n">
        <v>2</v>
      </c>
      <c r="F15" s="22" t="s">
        <v>60</v>
      </c>
      <c r="G15" s="20"/>
      <c r="H15" s="20"/>
    </row>
    <row r="16" customFormat="false" ht="30" hidden="false" customHeight="true" outlineLevel="0" collapsed="false">
      <c r="A16" s="25" t="s">
        <v>964</v>
      </c>
      <c r="B16" s="25" t="s">
        <v>965</v>
      </c>
      <c r="C16" s="26" t="s">
        <v>968</v>
      </c>
      <c r="D16" s="27" t="s">
        <v>969</v>
      </c>
      <c r="E16" s="21" t="n">
        <v>2</v>
      </c>
      <c r="F16" s="22" t="s">
        <v>60</v>
      </c>
      <c r="G16" s="27"/>
      <c r="H16" s="27"/>
    </row>
    <row r="17" customFormat="false" ht="30" hidden="false" customHeight="true" outlineLevel="0" collapsed="false">
      <c r="A17" s="18" t="s">
        <v>964</v>
      </c>
      <c r="B17" s="18" t="s">
        <v>965</v>
      </c>
      <c r="C17" s="19" t="s">
        <v>970</v>
      </c>
      <c r="D17" s="20" t="s">
        <v>971</v>
      </c>
      <c r="E17" s="31" t="n">
        <v>3</v>
      </c>
      <c r="F17" s="22" t="s">
        <v>60</v>
      </c>
      <c r="G17" s="20"/>
      <c r="H17" s="20"/>
    </row>
    <row r="18" customFormat="false" ht="30" hidden="false" customHeight="true" outlineLevel="0" collapsed="false">
      <c r="A18" s="25" t="s">
        <v>964</v>
      </c>
      <c r="B18" s="25" t="s">
        <v>965</v>
      </c>
      <c r="C18" s="26" t="s">
        <v>972</v>
      </c>
      <c r="D18" s="27" t="s">
        <v>973</v>
      </c>
      <c r="E18" s="31" t="n">
        <v>3</v>
      </c>
      <c r="F18" s="22" t="s">
        <v>60</v>
      </c>
      <c r="G18" s="27"/>
      <c r="H18" s="27"/>
    </row>
    <row r="19" customFormat="false" ht="18" hidden="false" customHeight="true" outlineLevel="0" collapsed="false">
      <c r="A19" s="17" t="s">
        <v>974</v>
      </c>
      <c r="B19" s="17" t="s">
        <v>975</v>
      </c>
      <c r="C19" s="17"/>
      <c r="D19" s="17"/>
      <c r="E19" s="17"/>
      <c r="F19" s="17"/>
      <c r="G19" s="17"/>
      <c r="H19" s="17"/>
    </row>
    <row r="20" customFormat="false" ht="30" hidden="false" customHeight="true" outlineLevel="0" collapsed="false">
      <c r="A20" s="18" t="s">
        <v>974</v>
      </c>
      <c r="B20" s="18" t="s">
        <v>975</v>
      </c>
      <c r="C20" s="19" t="s">
        <v>976</v>
      </c>
      <c r="D20" s="20" t="s">
        <v>977</v>
      </c>
      <c r="E20" s="30" t="n">
        <v>1</v>
      </c>
      <c r="F20" s="22" t="s">
        <v>60</v>
      </c>
      <c r="G20" s="20"/>
      <c r="H20" s="20"/>
    </row>
    <row r="21" customFormat="false" ht="30" hidden="false" customHeight="true" outlineLevel="0" collapsed="false">
      <c r="A21" s="25" t="s">
        <v>974</v>
      </c>
      <c r="B21" s="25" t="s">
        <v>975</v>
      </c>
      <c r="C21" s="26" t="s">
        <v>978</v>
      </c>
      <c r="D21" s="27" t="s">
        <v>979</v>
      </c>
      <c r="E21" s="21" t="n">
        <v>2</v>
      </c>
      <c r="F21" s="22" t="s">
        <v>60</v>
      </c>
      <c r="G21" s="27"/>
      <c r="H21" s="27"/>
    </row>
    <row r="22" customFormat="false" ht="30" hidden="false" customHeight="true" outlineLevel="0" collapsed="false">
      <c r="A22" s="18" t="s">
        <v>974</v>
      </c>
      <c r="B22" s="18" t="s">
        <v>975</v>
      </c>
      <c r="C22" s="19" t="s">
        <v>980</v>
      </c>
      <c r="D22" s="20" t="s">
        <v>981</v>
      </c>
      <c r="E22" s="21" t="n">
        <v>2</v>
      </c>
      <c r="F22" s="22" t="s">
        <v>60</v>
      </c>
      <c r="G22" s="20"/>
      <c r="H22" s="20"/>
    </row>
    <row r="23" customFormat="false" ht="30" hidden="false" customHeight="true" outlineLevel="0" collapsed="false">
      <c r="A23" s="25" t="s">
        <v>974</v>
      </c>
      <c r="B23" s="25" t="s">
        <v>975</v>
      </c>
      <c r="C23" s="26" t="s">
        <v>982</v>
      </c>
      <c r="D23" s="27" t="s">
        <v>983</v>
      </c>
      <c r="E23" s="21" t="n">
        <v>2</v>
      </c>
      <c r="F23" s="22" t="s">
        <v>60</v>
      </c>
      <c r="G23" s="27"/>
      <c r="H23" s="27"/>
    </row>
    <row r="24" customFormat="false" ht="30" hidden="false" customHeight="true" outlineLevel="0" collapsed="false">
      <c r="A24" s="18" t="s">
        <v>974</v>
      </c>
      <c r="B24" s="18" t="s">
        <v>975</v>
      </c>
      <c r="C24" s="19" t="s">
        <v>984</v>
      </c>
      <c r="D24" s="20" t="s">
        <v>985</v>
      </c>
      <c r="E24" s="21" t="n">
        <v>2</v>
      </c>
      <c r="F24" s="22" t="s">
        <v>60</v>
      </c>
      <c r="G24" s="20"/>
      <c r="H24" s="20"/>
    </row>
    <row r="25" customFormat="false" ht="30" hidden="false" customHeight="true" outlineLevel="0" collapsed="false">
      <c r="A25" s="25" t="s">
        <v>974</v>
      </c>
      <c r="B25" s="25" t="s">
        <v>975</v>
      </c>
      <c r="C25" s="26" t="s">
        <v>986</v>
      </c>
      <c r="D25" s="27" t="s">
        <v>987</v>
      </c>
      <c r="E25" s="31" t="n">
        <v>3</v>
      </c>
      <c r="F25" s="22" t="s">
        <v>60</v>
      </c>
      <c r="G25" s="27"/>
      <c r="H25" s="27"/>
    </row>
    <row r="26" customFormat="false" ht="30" hidden="false" customHeight="true" outlineLevel="0" collapsed="false">
      <c r="A26" s="18" t="s">
        <v>974</v>
      </c>
      <c r="B26" s="18" t="s">
        <v>975</v>
      </c>
      <c r="C26" s="19" t="s">
        <v>988</v>
      </c>
      <c r="D26" s="20" t="s">
        <v>989</v>
      </c>
      <c r="E26" s="31" t="n">
        <v>3</v>
      </c>
      <c r="F26" s="22" t="s">
        <v>60</v>
      </c>
      <c r="G26" s="20"/>
      <c r="H26" s="20"/>
    </row>
  </sheetData>
  <conditionalFormatting sqref="F2:F26">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2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2" activeCellId="0" sqref="G12"/>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990</v>
      </c>
      <c r="B2" s="17" t="s">
        <v>991</v>
      </c>
      <c r="C2" s="17"/>
      <c r="D2" s="17"/>
      <c r="E2" s="17"/>
      <c r="F2" s="17"/>
      <c r="G2" s="17"/>
      <c r="H2" s="17"/>
    </row>
    <row r="3" customFormat="false" ht="30" hidden="false" customHeight="true" outlineLevel="0" collapsed="false">
      <c r="A3" s="18" t="s">
        <v>990</v>
      </c>
      <c r="B3" s="18" t="s">
        <v>991</v>
      </c>
      <c r="C3" s="19" t="s">
        <v>992</v>
      </c>
      <c r="D3" s="20" t="s">
        <v>993</v>
      </c>
      <c r="E3" s="21" t="n">
        <v>2</v>
      </c>
      <c r="F3" s="22" t="s">
        <v>205</v>
      </c>
      <c r="G3" s="20"/>
      <c r="H3" s="20"/>
    </row>
    <row r="4" customFormat="false" ht="30" hidden="false" customHeight="true" outlineLevel="0" collapsed="false">
      <c r="A4" s="25" t="s">
        <v>990</v>
      </c>
      <c r="B4" s="25" t="s">
        <v>991</v>
      </c>
      <c r="C4" s="26" t="s">
        <v>994</v>
      </c>
      <c r="D4" s="27" t="s">
        <v>995</v>
      </c>
      <c r="E4" s="21" t="n">
        <v>2</v>
      </c>
      <c r="F4" s="22" t="s">
        <v>60</v>
      </c>
      <c r="G4" s="27"/>
      <c r="H4" s="27"/>
    </row>
    <row r="5" customFormat="false" ht="18" hidden="false" customHeight="true" outlineLevel="0" collapsed="false">
      <c r="A5" s="17" t="s">
        <v>996</v>
      </c>
      <c r="B5" s="17" t="s">
        <v>997</v>
      </c>
      <c r="C5" s="17"/>
      <c r="D5" s="17"/>
      <c r="E5" s="17"/>
      <c r="F5" s="17"/>
      <c r="G5" s="17"/>
      <c r="H5" s="17"/>
    </row>
    <row r="6" customFormat="false" ht="30" hidden="false" customHeight="true" outlineLevel="0" collapsed="false">
      <c r="A6" s="18" t="s">
        <v>996</v>
      </c>
      <c r="B6" s="18" t="s">
        <v>997</v>
      </c>
      <c r="C6" s="19" t="s">
        <v>998</v>
      </c>
      <c r="D6" s="20" t="s">
        <v>999</v>
      </c>
      <c r="E6" s="30" t="n">
        <v>1</v>
      </c>
      <c r="F6" s="22" t="s">
        <v>45</v>
      </c>
      <c r="G6" s="20"/>
      <c r="H6" s="20"/>
    </row>
    <row r="7" customFormat="false" ht="30" hidden="false" customHeight="true" outlineLevel="0" collapsed="false">
      <c r="A7" s="25" t="s">
        <v>996</v>
      </c>
      <c r="B7" s="25" t="s">
        <v>997</v>
      </c>
      <c r="C7" s="26" t="s">
        <v>1000</v>
      </c>
      <c r="D7" s="27" t="s">
        <v>1001</v>
      </c>
      <c r="E7" s="21" t="n">
        <v>2</v>
      </c>
      <c r="F7" s="22" t="s">
        <v>60</v>
      </c>
      <c r="G7" s="27"/>
      <c r="H7" s="27"/>
    </row>
    <row r="8" customFormat="false" ht="30" hidden="false" customHeight="true" outlineLevel="0" collapsed="false">
      <c r="A8" s="18" t="s">
        <v>996</v>
      </c>
      <c r="B8" s="18" t="s">
        <v>997</v>
      </c>
      <c r="C8" s="19" t="s">
        <v>1002</v>
      </c>
      <c r="D8" s="20" t="s">
        <v>1003</v>
      </c>
      <c r="E8" s="21" t="n">
        <v>2</v>
      </c>
      <c r="F8" s="22" t="s">
        <v>45</v>
      </c>
      <c r="G8" s="20"/>
      <c r="H8" s="20"/>
    </row>
    <row r="9" customFormat="false" ht="30" hidden="false" customHeight="true" outlineLevel="0" collapsed="false">
      <c r="A9" s="25" t="s">
        <v>996</v>
      </c>
      <c r="B9" s="25" t="s">
        <v>997</v>
      </c>
      <c r="C9" s="26" t="s">
        <v>1004</v>
      </c>
      <c r="D9" s="27" t="s">
        <v>1005</v>
      </c>
      <c r="E9" s="21" t="n">
        <v>2</v>
      </c>
      <c r="F9" s="22" t="s">
        <v>45</v>
      </c>
      <c r="G9" s="27" t="s">
        <v>1006</v>
      </c>
      <c r="H9" s="27" t="s">
        <v>1007</v>
      </c>
    </row>
    <row r="10" customFormat="false" ht="30" hidden="false" customHeight="true" outlineLevel="0" collapsed="false">
      <c r="A10" s="18" t="s">
        <v>996</v>
      </c>
      <c r="B10" s="18" t="s">
        <v>997</v>
      </c>
      <c r="C10" s="19" t="s">
        <v>1008</v>
      </c>
      <c r="D10" s="20" t="s">
        <v>1009</v>
      </c>
      <c r="E10" s="31" t="n">
        <v>3</v>
      </c>
      <c r="F10" s="22" t="s">
        <v>60</v>
      </c>
      <c r="G10" s="20"/>
      <c r="H10" s="20"/>
    </row>
    <row r="11" customFormat="false" ht="30" hidden="false" customHeight="true" outlineLevel="0" collapsed="false">
      <c r="A11" s="25" t="s">
        <v>996</v>
      </c>
      <c r="B11" s="25" t="s">
        <v>997</v>
      </c>
      <c r="C11" s="26" t="s">
        <v>1010</v>
      </c>
      <c r="D11" s="27" t="s">
        <v>1011</v>
      </c>
      <c r="E11" s="31" t="n">
        <v>3</v>
      </c>
      <c r="F11" s="22" t="s">
        <v>45</v>
      </c>
      <c r="G11" s="27"/>
      <c r="H11" s="27"/>
    </row>
    <row r="12" customFormat="false" ht="30" hidden="false" customHeight="true" outlineLevel="0" collapsed="false">
      <c r="A12" s="18" t="s">
        <v>996</v>
      </c>
      <c r="B12" s="18" t="s">
        <v>997</v>
      </c>
      <c r="C12" s="19" t="s">
        <v>1012</v>
      </c>
      <c r="D12" s="20" t="s">
        <v>1013</v>
      </c>
      <c r="E12" s="31" t="n">
        <v>3</v>
      </c>
      <c r="F12" s="22" t="s">
        <v>60</v>
      </c>
      <c r="G12" s="20"/>
      <c r="H12" s="20"/>
    </row>
    <row r="13" customFormat="false" ht="30" hidden="false" customHeight="true" outlineLevel="0" collapsed="false">
      <c r="A13" s="25" t="s">
        <v>996</v>
      </c>
      <c r="B13" s="25" t="s">
        <v>997</v>
      </c>
      <c r="C13" s="26" t="s">
        <v>1014</v>
      </c>
      <c r="D13" s="27" t="s">
        <v>1015</v>
      </c>
      <c r="E13" s="31" t="n">
        <v>3</v>
      </c>
      <c r="F13" s="22" t="s">
        <v>60</v>
      </c>
      <c r="G13" s="27"/>
      <c r="H13" s="27"/>
    </row>
    <row r="14" customFormat="false" ht="18" hidden="false" customHeight="true" outlineLevel="0" collapsed="false">
      <c r="A14" s="17" t="s">
        <v>1016</v>
      </c>
      <c r="B14" s="17" t="s">
        <v>1017</v>
      </c>
      <c r="C14" s="17"/>
      <c r="D14" s="17"/>
      <c r="E14" s="17"/>
      <c r="F14" s="17"/>
      <c r="G14" s="17"/>
      <c r="H14" s="17"/>
    </row>
    <row r="15" customFormat="false" ht="30" hidden="false" customHeight="true" outlineLevel="0" collapsed="false">
      <c r="A15" s="18" t="s">
        <v>1016</v>
      </c>
      <c r="B15" s="18" t="s">
        <v>1017</v>
      </c>
      <c r="C15" s="19" t="s">
        <v>1018</v>
      </c>
      <c r="D15" s="20" t="s">
        <v>1019</v>
      </c>
      <c r="E15" s="30" t="n">
        <v>1</v>
      </c>
      <c r="F15" s="22" t="s">
        <v>60</v>
      </c>
      <c r="G15" s="20"/>
      <c r="H15" s="20"/>
    </row>
    <row r="16" customFormat="false" ht="30" hidden="false" customHeight="true" outlineLevel="0" collapsed="false">
      <c r="A16" s="25" t="s">
        <v>1016</v>
      </c>
      <c r="B16" s="25" t="s">
        <v>1017</v>
      </c>
      <c r="C16" s="26" t="s">
        <v>1020</v>
      </c>
      <c r="D16" s="27" t="s">
        <v>1021</v>
      </c>
      <c r="E16" s="21" t="n">
        <v>2</v>
      </c>
      <c r="F16" s="42" t="s">
        <v>60</v>
      </c>
      <c r="G16" s="27"/>
      <c r="H16" s="27"/>
    </row>
    <row r="17" customFormat="false" ht="30" hidden="false" customHeight="true" outlineLevel="0" collapsed="false">
      <c r="A17" s="18" t="s">
        <v>1016</v>
      </c>
      <c r="B17" s="18" t="s">
        <v>1017</v>
      </c>
      <c r="C17" s="19" t="s">
        <v>1022</v>
      </c>
      <c r="D17" s="20" t="s">
        <v>1023</v>
      </c>
      <c r="E17" s="21" t="n">
        <v>2</v>
      </c>
      <c r="F17" s="22" t="s">
        <v>60</v>
      </c>
      <c r="G17" s="20"/>
      <c r="H17" s="20"/>
    </row>
  </sheetData>
  <conditionalFormatting sqref="F2:F17">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17"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pane xSplit="0" ySplit="1" topLeftCell="A11" activePane="bottomLeft" state="frozen"/>
      <selection pane="topLeft" activeCell="K1" activeCellId="0" sqref="K1"/>
      <selection pane="bottomLeft" activeCell="H17" activeCellId="0" sqref="H17"/>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1024</v>
      </c>
      <c r="B2" s="17" t="s">
        <v>1025</v>
      </c>
      <c r="C2" s="17"/>
      <c r="D2" s="17"/>
      <c r="E2" s="17"/>
      <c r="F2" s="17"/>
      <c r="G2" s="17"/>
      <c r="H2" s="17"/>
    </row>
    <row r="3" customFormat="false" ht="30" hidden="false" customHeight="true" outlineLevel="0" collapsed="false">
      <c r="A3" s="18" t="s">
        <v>1024</v>
      </c>
      <c r="B3" s="18" t="s">
        <v>1025</v>
      </c>
      <c r="C3" s="19" t="s">
        <v>1026</v>
      </c>
      <c r="D3" s="20" t="s">
        <v>1027</v>
      </c>
      <c r="E3" s="30" t="n">
        <v>1</v>
      </c>
      <c r="F3" s="22" t="s">
        <v>400</v>
      </c>
      <c r="G3" s="20"/>
      <c r="H3" s="20"/>
    </row>
    <row r="4" customFormat="false" ht="30" hidden="false" customHeight="true" outlineLevel="0" collapsed="false">
      <c r="A4" s="25" t="s">
        <v>1024</v>
      </c>
      <c r="B4" s="25" t="s">
        <v>1025</v>
      </c>
      <c r="C4" s="26" t="s">
        <v>1028</v>
      </c>
      <c r="D4" s="27" t="s">
        <v>1029</v>
      </c>
      <c r="E4" s="21" t="n">
        <v>2</v>
      </c>
      <c r="F4" s="22" t="s">
        <v>205</v>
      </c>
      <c r="G4" s="27"/>
      <c r="H4" s="27"/>
    </row>
    <row r="5" customFormat="false" ht="30" hidden="false" customHeight="true" outlineLevel="0" collapsed="false">
      <c r="A5" s="18" t="s">
        <v>1024</v>
      </c>
      <c r="B5" s="18" t="s">
        <v>1025</v>
      </c>
      <c r="C5" s="19" t="s">
        <v>1030</v>
      </c>
      <c r="D5" s="20" t="s">
        <v>1031</v>
      </c>
      <c r="E5" s="21" t="n">
        <v>2</v>
      </c>
      <c r="F5" s="22" t="s">
        <v>400</v>
      </c>
      <c r="G5" s="20"/>
      <c r="H5" s="20"/>
    </row>
    <row r="6" customFormat="false" ht="30" hidden="false" customHeight="true" outlineLevel="0" collapsed="false">
      <c r="A6" s="25" t="s">
        <v>1024</v>
      </c>
      <c r="B6" s="25" t="s">
        <v>1025</v>
      </c>
      <c r="C6" s="26" t="s">
        <v>1032</v>
      </c>
      <c r="D6" s="27" t="s">
        <v>1033</v>
      </c>
      <c r="E6" s="31" t="n">
        <v>3</v>
      </c>
      <c r="F6" s="22" t="s">
        <v>45</v>
      </c>
      <c r="G6" s="27" t="s">
        <v>1034</v>
      </c>
      <c r="H6" s="27" t="s">
        <v>154</v>
      </c>
    </row>
    <row r="7" customFormat="false" ht="30" hidden="false" customHeight="true" outlineLevel="0" collapsed="false">
      <c r="A7" s="18" t="s">
        <v>1024</v>
      </c>
      <c r="B7" s="18" t="s">
        <v>1025</v>
      </c>
      <c r="C7" s="19" t="s">
        <v>1035</v>
      </c>
      <c r="D7" s="20" t="s">
        <v>1036</v>
      </c>
      <c r="E7" s="31" t="n">
        <v>3</v>
      </c>
      <c r="F7" s="22" t="s">
        <v>400</v>
      </c>
      <c r="G7" s="20"/>
      <c r="H7" s="20"/>
    </row>
    <row r="8" customFormat="false" ht="18" hidden="false" customHeight="true" outlineLevel="0" collapsed="false">
      <c r="A8" s="17" t="s">
        <v>1037</v>
      </c>
      <c r="B8" s="17" t="s">
        <v>1038</v>
      </c>
      <c r="C8" s="17"/>
      <c r="D8" s="17"/>
      <c r="E8" s="17"/>
      <c r="F8" s="17"/>
      <c r="G8" s="17"/>
      <c r="H8" s="17"/>
    </row>
    <row r="9" customFormat="false" ht="30" hidden="false" customHeight="true" outlineLevel="0" collapsed="false">
      <c r="A9" s="18" t="s">
        <v>1037</v>
      </c>
      <c r="B9" s="18" t="s">
        <v>1038</v>
      </c>
      <c r="C9" s="19" t="s">
        <v>1039</v>
      </c>
      <c r="D9" s="20" t="s">
        <v>1040</v>
      </c>
      <c r="E9" s="30" t="n">
        <v>1</v>
      </c>
      <c r="F9" s="22" t="s">
        <v>400</v>
      </c>
      <c r="G9" s="20"/>
      <c r="H9" s="20"/>
    </row>
    <row r="10" customFormat="false" ht="30" hidden="false" customHeight="true" outlineLevel="0" collapsed="false">
      <c r="A10" s="25" t="s">
        <v>1037</v>
      </c>
      <c r="B10" s="25" t="s">
        <v>1038</v>
      </c>
      <c r="C10" s="26" t="s">
        <v>1041</v>
      </c>
      <c r="D10" s="27" t="s">
        <v>1042</v>
      </c>
      <c r="E10" s="21" t="n">
        <v>2</v>
      </c>
      <c r="F10" s="22" t="s">
        <v>205</v>
      </c>
      <c r="G10" s="27"/>
      <c r="H10" s="27"/>
    </row>
    <row r="11" customFormat="false" ht="30" hidden="false" customHeight="true" outlineLevel="0" collapsed="false">
      <c r="A11" s="18" t="s">
        <v>1037</v>
      </c>
      <c r="B11" s="18" t="s">
        <v>1038</v>
      </c>
      <c r="C11" s="19" t="s">
        <v>1043</v>
      </c>
      <c r="D11" s="20" t="s">
        <v>1044</v>
      </c>
      <c r="E11" s="21" t="n">
        <v>2</v>
      </c>
      <c r="F11" s="22" t="s">
        <v>45</v>
      </c>
      <c r="G11" s="20" t="s">
        <v>1045</v>
      </c>
      <c r="H11" s="20" t="s">
        <v>1046</v>
      </c>
    </row>
    <row r="12" customFormat="false" ht="30" hidden="false" customHeight="true" outlineLevel="0" collapsed="false">
      <c r="A12" s="25" t="s">
        <v>1037</v>
      </c>
      <c r="B12" s="25" t="s">
        <v>1038</v>
      </c>
      <c r="C12" s="26" t="s">
        <v>1047</v>
      </c>
      <c r="D12" s="27" t="s">
        <v>1048</v>
      </c>
      <c r="E12" s="31" t="n">
        <v>3</v>
      </c>
      <c r="F12" s="22" t="s">
        <v>205</v>
      </c>
      <c r="G12" s="27"/>
      <c r="H12" s="27"/>
    </row>
    <row r="13" customFormat="false" ht="30" hidden="false" customHeight="true" outlineLevel="0" collapsed="false">
      <c r="A13" s="18" t="s">
        <v>1037</v>
      </c>
      <c r="B13" s="18" t="s">
        <v>1038</v>
      </c>
      <c r="C13" s="19" t="s">
        <v>1049</v>
      </c>
      <c r="D13" s="20" t="s">
        <v>1050</v>
      </c>
      <c r="E13" s="31" t="n">
        <v>3</v>
      </c>
      <c r="F13" s="22" t="s">
        <v>400</v>
      </c>
      <c r="G13" s="20"/>
      <c r="H13" s="20"/>
    </row>
    <row r="14" customFormat="false" ht="18" hidden="false" customHeight="true" outlineLevel="0" collapsed="false">
      <c r="A14" s="17" t="s">
        <v>1051</v>
      </c>
      <c r="B14" s="17" t="s">
        <v>1052</v>
      </c>
      <c r="C14" s="17"/>
      <c r="D14" s="17"/>
      <c r="E14" s="17"/>
      <c r="F14" s="17"/>
      <c r="G14" s="17"/>
      <c r="H14" s="17"/>
    </row>
    <row r="15" customFormat="false" ht="30" hidden="false" customHeight="true" outlineLevel="0" collapsed="false">
      <c r="A15" s="18" t="s">
        <v>1051</v>
      </c>
      <c r="B15" s="18" t="s">
        <v>1052</v>
      </c>
      <c r="C15" s="19" t="s">
        <v>1053</v>
      </c>
      <c r="D15" s="20" t="s">
        <v>1054</v>
      </c>
      <c r="E15" s="30" t="n">
        <v>1</v>
      </c>
      <c r="F15" s="22" t="s">
        <v>205</v>
      </c>
      <c r="G15" s="20"/>
      <c r="H15" s="20"/>
    </row>
    <row r="16" customFormat="false" ht="30" hidden="false" customHeight="true" outlineLevel="0" collapsed="false">
      <c r="A16" s="25" t="s">
        <v>1051</v>
      </c>
      <c r="B16" s="25" t="s">
        <v>1052</v>
      </c>
      <c r="C16" s="26" t="s">
        <v>1055</v>
      </c>
      <c r="D16" s="27" t="s">
        <v>1056</v>
      </c>
      <c r="E16" s="21" t="n">
        <v>2</v>
      </c>
      <c r="F16" s="22" t="s">
        <v>60</v>
      </c>
      <c r="G16" s="27"/>
      <c r="H16" s="27"/>
    </row>
    <row r="17" customFormat="false" ht="30" hidden="false" customHeight="true" outlineLevel="0" collapsed="false">
      <c r="A17" s="18" t="s">
        <v>1051</v>
      </c>
      <c r="B17" s="18" t="s">
        <v>1052</v>
      </c>
      <c r="C17" s="19" t="s">
        <v>1057</v>
      </c>
      <c r="D17" s="20" t="s">
        <v>1058</v>
      </c>
      <c r="E17" s="21" t="n">
        <v>2</v>
      </c>
      <c r="F17" s="22" t="s">
        <v>45</v>
      </c>
      <c r="G17" s="20" t="s">
        <v>1059</v>
      </c>
      <c r="H17" s="20" t="s">
        <v>1060</v>
      </c>
    </row>
    <row r="18" customFormat="false" ht="30" hidden="false" customHeight="true" outlineLevel="0" collapsed="false">
      <c r="A18" s="25" t="s">
        <v>1051</v>
      </c>
      <c r="B18" s="25" t="s">
        <v>1052</v>
      </c>
      <c r="C18" s="26" t="s">
        <v>1061</v>
      </c>
      <c r="D18" s="27" t="s">
        <v>1062</v>
      </c>
      <c r="E18" s="21" t="n">
        <v>2</v>
      </c>
      <c r="F18" s="22" t="s">
        <v>400</v>
      </c>
      <c r="G18" s="27"/>
      <c r="H18" s="27"/>
    </row>
    <row r="19" customFormat="false" ht="30" hidden="false" customHeight="true" outlineLevel="0" collapsed="false">
      <c r="A19" s="18" t="s">
        <v>1051</v>
      </c>
      <c r="B19" s="18" t="s">
        <v>1052</v>
      </c>
      <c r="C19" s="19" t="s">
        <v>1063</v>
      </c>
      <c r="D19" s="20" t="s">
        <v>1064</v>
      </c>
      <c r="E19" s="21" t="n">
        <v>2</v>
      </c>
      <c r="F19" s="22" t="s">
        <v>45</v>
      </c>
      <c r="G19" s="20"/>
      <c r="H19" s="20"/>
    </row>
    <row r="20" customFormat="false" ht="30" hidden="false" customHeight="true" outlineLevel="0" collapsed="false">
      <c r="A20" s="25" t="s">
        <v>1051</v>
      </c>
      <c r="B20" s="25" t="s">
        <v>1052</v>
      </c>
      <c r="C20" s="26" t="s">
        <v>1065</v>
      </c>
      <c r="D20" s="27" t="s">
        <v>1066</v>
      </c>
      <c r="E20" s="21" t="n">
        <v>2</v>
      </c>
      <c r="F20" s="22" t="s">
        <v>60</v>
      </c>
      <c r="G20" s="27"/>
      <c r="H20" s="27"/>
    </row>
    <row r="21" customFormat="false" ht="30" hidden="false" customHeight="true" outlineLevel="0" collapsed="false">
      <c r="A21" s="18" t="s">
        <v>1051</v>
      </c>
      <c r="B21" s="18" t="s">
        <v>1052</v>
      </c>
      <c r="C21" s="19" t="s">
        <v>1067</v>
      </c>
      <c r="D21" s="20" t="s">
        <v>1068</v>
      </c>
      <c r="E21" s="21" t="n">
        <v>2</v>
      </c>
      <c r="F21" s="22" t="s">
        <v>205</v>
      </c>
      <c r="G21" s="20"/>
      <c r="H21" s="20"/>
    </row>
    <row r="22" customFormat="false" ht="18" hidden="false" customHeight="true" outlineLevel="0" collapsed="false">
      <c r="A22" s="17" t="s">
        <v>1069</v>
      </c>
      <c r="B22" s="17" t="s">
        <v>1070</v>
      </c>
      <c r="C22" s="17"/>
      <c r="D22" s="17"/>
      <c r="E22" s="17"/>
      <c r="F22" s="17"/>
      <c r="G22" s="17"/>
      <c r="H22" s="17"/>
    </row>
    <row r="23" customFormat="false" ht="30" hidden="false" customHeight="true" outlineLevel="0" collapsed="false">
      <c r="A23" s="18" t="s">
        <v>1069</v>
      </c>
      <c r="B23" s="18" t="s">
        <v>1070</v>
      </c>
      <c r="C23" s="19" t="s">
        <v>1071</v>
      </c>
      <c r="D23" s="20" t="s">
        <v>1072</v>
      </c>
      <c r="E23" s="31" t="n">
        <v>3</v>
      </c>
      <c r="F23" s="22" t="s">
        <v>205</v>
      </c>
      <c r="G23" s="20"/>
      <c r="H23" s="20"/>
    </row>
    <row r="24" customFormat="false" ht="30" hidden="false" customHeight="true" outlineLevel="0" collapsed="false">
      <c r="A24" s="25" t="s">
        <v>1069</v>
      </c>
      <c r="B24" s="25" t="s">
        <v>1070</v>
      </c>
      <c r="C24" s="26" t="s">
        <v>1073</v>
      </c>
      <c r="D24" s="27" t="s">
        <v>1074</v>
      </c>
      <c r="E24" s="31" t="n">
        <v>3</v>
      </c>
      <c r="F24" s="22" t="s">
        <v>45</v>
      </c>
      <c r="G24" s="27" t="s">
        <v>1075</v>
      </c>
      <c r="H24" s="27" t="s">
        <v>1076</v>
      </c>
    </row>
    <row r="25" customFormat="false" ht="30" hidden="false" customHeight="true" outlineLevel="0" collapsed="false">
      <c r="A25" s="18" t="s">
        <v>1069</v>
      </c>
      <c r="B25" s="18" t="s">
        <v>1070</v>
      </c>
      <c r="C25" s="19" t="s">
        <v>1077</v>
      </c>
      <c r="D25" s="20" t="s">
        <v>1078</v>
      </c>
      <c r="E25" s="31" t="n">
        <v>3</v>
      </c>
      <c r="F25" s="22" t="s">
        <v>400</v>
      </c>
      <c r="G25" s="20"/>
      <c r="H25" s="20"/>
    </row>
    <row r="26" customFormat="false" ht="30" hidden="false" customHeight="true" outlineLevel="0" collapsed="false">
      <c r="A26" s="25" t="s">
        <v>1069</v>
      </c>
      <c r="B26" s="25" t="s">
        <v>1070</v>
      </c>
      <c r="C26" s="26" t="s">
        <v>1079</v>
      </c>
      <c r="D26" s="27" t="s">
        <v>1080</v>
      </c>
      <c r="E26" s="31" t="n">
        <v>3</v>
      </c>
      <c r="F26" s="22" t="s">
        <v>400</v>
      </c>
      <c r="G26" s="27"/>
      <c r="H26" s="27"/>
    </row>
  </sheetData>
  <conditionalFormatting sqref="F2:F26">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2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8" activePane="bottomLeft" state="frozen"/>
      <selection pane="topLeft" activeCell="A1" activeCellId="0" sqref="A1"/>
      <selection pane="bottomLeft" activeCell="H20" activeCellId="0" sqref="H20"/>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1081</v>
      </c>
      <c r="B2" s="17" t="s">
        <v>1082</v>
      </c>
      <c r="C2" s="17"/>
      <c r="D2" s="17"/>
      <c r="E2" s="17"/>
      <c r="F2" s="17"/>
      <c r="G2" s="17"/>
      <c r="H2" s="17"/>
    </row>
    <row r="3" customFormat="false" ht="30" hidden="false" customHeight="true" outlineLevel="0" collapsed="false">
      <c r="A3" s="18" t="s">
        <v>1081</v>
      </c>
      <c r="B3" s="18" t="s">
        <v>1082</v>
      </c>
      <c r="C3" s="19" t="s">
        <v>1083</v>
      </c>
      <c r="D3" s="20" t="s">
        <v>1084</v>
      </c>
      <c r="E3" s="21" t="n">
        <v>2</v>
      </c>
      <c r="F3" s="22" t="s">
        <v>400</v>
      </c>
      <c r="G3" s="20"/>
      <c r="H3" s="20"/>
    </row>
    <row r="4" customFormat="false" ht="18" hidden="false" customHeight="true" outlineLevel="0" collapsed="false">
      <c r="A4" s="17" t="s">
        <v>1085</v>
      </c>
      <c r="B4" s="17" t="s">
        <v>1086</v>
      </c>
      <c r="C4" s="17"/>
      <c r="D4" s="17"/>
      <c r="E4" s="17"/>
      <c r="F4" s="17"/>
      <c r="G4" s="17"/>
      <c r="H4" s="17"/>
    </row>
    <row r="5" customFormat="false" ht="30" hidden="false" customHeight="true" outlineLevel="0" collapsed="false">
      <c r="A5" s="18" t="s">
        <v>1085</v>
      </c>
      <c r="B5" s="18" t="s">
        <v>1086</v>
      </c>
      <c r="C5" s="19" t="s">
        <v>1087</v>
      </c>
      <c r="D5" s="20" t="s">
        <v>1088</v>
      </c>
      <c r="E5" s="21" t="n">
        <v>2</v>
      </c>
      <c r="F5" s="22" t="s">
        <v>45</v>
      </c>
      <c r="G5" s="20" t="s">
        <v>1089</v>
      </c>
      <c r="H5" s="20" t="s">
        <v>1090</v>
      </c>
    </row>
    <row r="6" customFormat="false" ht="30" hidden="false" customHeight="true" outlineLevel="0" collapsed="false">
      <c r="A6" s="25" t="s">
        <v>1085</v>
      </c>
      <c r="B6" s="25" t="s">
        <v>1086</v>
      </c>
      <c r="C6" s="26" t="s">
        <v>1091</v>
      </c>
      <c r="D6" s="27" t="s">
        <v>1092</v>
      </c>
      <c r="E6" s="21" t="n">
        <v>2</v>
      </c>
      <c r="F6" s="22" t="s">
        <v>400</v>
      </c>
      <c r="G6" s="27"/>
      <c r="H6" s="27"/>
    </row>
    <row r="7" customFormat="false" ht="30" hidden="false" customHeight="true" outlineLevel="0" collapsed="false">
      <c r="A7" s="18" t="s">
        <v>1085</v>
      </c>
      <c r="B7" s="18" t="s">
        <v>1086</v>
      </c>
      <c r="C7" s="19" t="s">
        <v>1093</v>
      </c>
      <c r="D7" s="20" t="s">
        <v>1094</v>
      </c>
      <c r="E7" s="21" t="n">
        <v>2</v>
      </c>
      <c r="F7" s="22" t="s">
        <v>400</v>
      </c>
      <c r="G7" s="20"/>
      <c r="H7" s="20"/>
    </row>
    <row r="8" customFormat="false" ht="30" hidden="false" customHeight="true" outlineLevel="0" collapsed="false">
      <c r="A8" s="25" t="s">
        <v>1085</v>
      </c>
      <c r="B8" s="25" t="s">
        <v>1086</v>
      </c>
      <c r="C8" s="26" t="s">
        <v>1095</v>
      </c>
      <c r="D8" s="27" t="s">
        <v>1096</v>
      </c>
      <c r="E8" s="21" t="n">
        <v>2</v>
      </c>
      <c r="F8" s="22" t="s">
        <v>400</v>
      </c>
      <c r="G8" s="27"/>
      <c r="H8" s="27"/>
    </row>
    <row r="9" customFormat="false" ht="30" hidden="false" customHeight="true" outlineLevel="0" collapsed="false">
      <c r="A9" s="18" t="s">
        <v>1085</v>
      </c>
      <c r="B9" s="18" t="s">
        <v>1086</v>
      </c>
      <c r="C9" s="19" t="s">
        <v>1097</v>
      </c>
      <c r="D9" s="20" t="s">
        <v>1098</v>
      </c>
      <c r="E9" s="21" t="n">
        <v>2</v>
      </c>
      <c r="F9" s="22" t="s">
        <v>400</v>
      </c>
      <c r="G9" s="20" t="s">
        <v>1099</v>
      </c>
      <c r="H9" s="20" t="s">
        <v>1100</v>
      </c>
    </row>
    <row r="10" customFormat="false" ht="18" hidden="false" customHeight="true" outlineLevel="0" collapsed="false">
      <c r="A10" s="17" t="s">
        <v>1101</v>
      </c>
      <c r="B10" s="17" t="s">
        <v>1102</v>
      </c>
      <c r="C10" s="17"/>
      <c r="D10" s="17"/>
      <c r="E10" s="17"/>
      <c r="F10" s="17"/>
      <c r="G10" s="17"/>
      <c r="H10" s="17"/>
    </row>
    <row r="11" customFormat="false" ht="30" hidden="false" customHeight="true" outlineLevel="0" collapsed="false">
      <c r="A11" s="18" t="s">
        <v>1101</v>
      </c>
      <c r="B11" s="18" t="s">
        <v>1102</v>
      </c>
      <c r="C11" s="19" t="s">
        <v>1103</v>
      </c>
      <c r="D11" s="20" t="s">
        <v>1104</v>
      </c>
      <c r="E11" s="21" t="n">
        <v>2</v>
      </c>
      <c r="F11" s="22" t="s">
        <v>400</v>
      </c>
      <c r="G11" s="20"/>
      <c r="H11" s="20"/>
    </row>
    <row r="12" customFormat="false" ht="30" hidden="false" customHeight="true" outlineLevel="0" collapsed="false">
      <c r="A12" s="25" t="s">
        <v>1101</v>
      </c>
      <c r="B12" s="25" t="s">
        <v>1102</v>
      </c>
      <c r="C12" s="26" t="s">
        <v>1105</v>
      </c>
      <c r="D12" s="27" t="s">
        <v>1106</v>
      </c>
      <c r="E12" s="21" t="n">
        <v>2</v>
      </c>
      <c r="F12" s="22" t="s">
        <v>400</v>
      </c>
      <c r="G12" s="27"/>
      <c r="H12" s="27"/>
    </row>
    <row r="13" customFormat="false" ht="30" hidden="false" customHeight="true" outlineLevel="0" collapsed="false">
      <c r="A13" s="18" t="s">
        <v>1101</v>
      </c>
      <c r="B13" s="18" t="s">
        <v>1102</v>
      </c>
      <c r="C13" s="19" t="s">
        <v>1107</v>
      </c>
      <c r="D13" s="20" t="s">
        <v>1108</v>
      </c>
      <c r="E13" s="21" t="n">
        <v>2</v>
      </c>
      <c r="F13" s="22" t="s">
        <v>400</v>
      </c>
      <c r="G13" s="20"/>
      <c r="H13" s="20"/>
    </row>
    <row r="14" customFormat="false" ht="30" hidden="false" customHeight="true" outlineLevel="0" collapsed="false">
      <c r="A14" s="25" t="s">
        <v>1101</v>
      </c>
      <c r="B14" s="25" t="s">
        <v>1102</v>
      </c>
      <c r="C14" s="26" t="s">
        <v>1109</v>
      </c>
      <c r="D14" s="27" t="s">
        <v>1110</v>
      </c>
      <c r="E14" s="21" t="n">
        <v>2</v>
      </c>
      <c r="F14" s="22" t="s">
        <v>45</v>
      </c>
      <c r="G14" s="27" t="s">
        <v>1111</v>
      </c>
      <c r="H14" s="27" t="s">
        <v>1112</v>
      </c>
    </row>
    <row r="15" customFormat="false" ht="18" hidden="false" customHeight="true" outlineLevel="0" collapsed="false">
      <c r="A15" s="17" t="s">
        <v>1113</v>
      </c>
      <c r="B15" s="17" t="s">
        <v>1114</v>
      </c>
      <c r="C15" s="17"/>
      <c r="D15" s="17"/>
      <c r="E15" s="17"/>
      <c r="F15" s="17"/>
      <c r="G15" s="17"/>
      <c r="H15" s="17"/>
    </row>
    <row r="16" customFormat="false" ht="30" hidden="false" customHeight="true" outlineLevel="0" collapsed="false">
      <c r="A16" s="18" t="s">
        <v>1113</v>
      </c>
      <c r="B16" s="18" t="s">
        <v>1114</v>
      </c>
      <c r="C16" s="19" t="s">
        <v>1115</v>
      </c>
      <c r="D16" s="20" t="s">
        <v>1116</v>
      </c>
      <c r="E16" s="21" t="n">
        <v>2</v>
      </c>
      <c r="F16" s="22" t="s">
        <v>400</v>
      </c>
      <c r="G16" s="20"/>
      <c r="H16" s="20"/>
    </row>
    <row r="17" customFormat="false" ht="30" hidden="false" customHeight="true" outlineLevel="0" collapsed="false">
      <c r="A17" s="25" t="s">
        <v>1113</v>
      </c>
      <c r="B17" s="25" t="s">
        <v>1114</v>
      </c>
      <c r="C17" s="26" t="s">
        <v>1117</v>
      </c>
      <c r="D17" s="27" t="s">
        <v>1118</v>
      </c>
      <c r="E17" s="21" t="n">
        <v>2</v>
      </c>
      <c r="F17" s="22" t="s">
        <v>400</v>
      </c>
      <c r="G17" s="27"/>
      <c r="H17" s="27"/>
    </row>
    <row r="18" customFormat="false" ht="30" hidden="false" customHeight="true" outlineLevel="0" collapsed="false">
      <c r="A18" s="18" t="s">
        <v>1113</v>
      </c>
      <c r="B18" s="18" t="s">
        <v>1114</v>
      </c>
      <c r="C18" s="19" t="s">
        <v>1119</v>
      </c>
      <c r="D18" s="20" t="s">
        <v>1120</v>
      </c>
      <c r="E18" s="21" t="n">
        <v>2</v>
      </c>
      <c r="F18" s="22" t="s">
        <v>400</v>
      </c>
      <c r="G18" s="20"/>
      <c r="H18" s="20"/>
    </row>
    <row r="19" customFormat="false" ht="18" hidden="false" customHeight="true" outlineLevel="0" collapsed="false">
      <c r="A19" s="17" t="s">
        <v>1121</v>
      </c>
      <c r="B19" s="17" t="s">
        <v>1122</v>
      </c>
      <c r="C19" s="17"/>
      <c r="D19" s="17"/>
      <c r="E19" s="17"/>
      <c r="F19" s="17"/>
      <c r="G19" s="17"/>
      <c r="H19" s="17"/>
    </row>
    <row r="20" customFormat="false" ht="30" hidden="false" customHeight="true" outlineLevel="0" collapsed="false">
      <c r="A20" s="18" t="s">
        <v>1121</v>
      </c>
      <c r="B20" s="18" t="s">
        <v>1122</v>
      </c>
      <c r="C20" s="19" t="s">
        <v>1123</v>
      </c>
      <c r="D20" s="20" t="s">
        <v>1124</v>
      </c>
      <c r="E20" s="21" t="n">
        <v>2</v>
      </c>
      <c r="F20" s="22" t="s">
        <v>45</v>
      </c>
      <c r="G20" s="20" t="s">
        <v>1125</v>
      </c>
      <c r="H20" s="20" t="s">
        <v>1112</v>
      </c>
    </row>
    <row r="21" customFormat="false" ht="30" hidden="false" customHeight="true" outlineLevel="0" collapsed="false">
      <c r="A21" s="25" t="s">
        <v>1121</v>
      </c>
      <c r="B21" s="25" t="s">
        <v>1122</v>
      </c>
      <c r="C21" s="26" t="s">
        <v>1126</v>
      </c>
      <c r="D21" s="27" t="s">
        <v>1127</v>
      </c>
      <c r="E21" s="21" t="n">
        <v>2</v>
      </c>
      <c r="F21" s="22" t="s">
        <v>400</v>
      </c>
      <c r="G21" s="27"/>
      <c r="H21" s="27"/>
    </row>
    <row r="22" customFormat="false" ht="30" hidden="false" customHeight="true" outlineLevel="0" collapsed="false">
      <c r="A22" s="18" t="s">
        <v>1121</v>
      </c>
      <c r="B22" s="18" t="s">
        <v>1122</v>
      </c>
      <c r="C22" s="19" t="s">
        <v>1128</v>
      </c>
      <c r="D22" s="20" t="s">
        <v>1129</v>
      </c>
      <c r="E22" s="21" t="n">
        <v>2</v>
      </c>
      <c r="F22" s="22" t="s">
        <v>205</v>
      </c>
      <c r="G22" s="20"/>
      <c r="H22" s="20"/>
    </row>
    <row r="23" customFormat="false" ht="30" hidden="false" customHeight="true" outlineLevel="0" collapsed="false">
      <c r="A23" s="25" t="s">
        <v>1121</v>
      </c>
      <c r="B23" s="25" t="s">
        <v>1122</v>
      </c>
      <c r="C23" s="26" t="s">
        <v>1130</v>
      </c>
      <c r="D23" s="27" t="s">
        <v>1131</v>
      </c>
      <c r="E23" s="31" t="n">
        <v>3</v>
      </c>
      <c r="F23" s="22" t="s">
        <v>205</v>
      </c>
      <c r="G23" s="27"/>
      <c r="H23" s="27"/>
    </row>
  </sheetData>
  <conditionalFormatting sqref="F2:F23">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23"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16" activeCellId="0" sqref="F16"/>
    </sheetView>
  </sheetViews>
  <sheetFormatPr defaultColWidth="8.5039062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1132</v>
      </c>
      <c r="B2" s="17" t="s">
        <v>1133</v>
      </c>
      <c r="C2" s="17"/>
      <c r="D2" s="17"/>
      <c r="E2" s="17"/>
      <c r="F2" s="17"/>
      <c r="G2" s="17"/>
      <c r="H2" s="17"/>
    </row>
    <row r="3" customFormat="false" ht="30" hidden="false" customHeight="true" outlineLevel="0" collapsed="false">
      <c r="A3" s="18" t="s">
        <v>1132</v>
      </c>
      <c r="B3" s="18" t="s">
        <v>1133</v>
      </c>
      <c r="C3" s="19" t="s">
        <v>1134</v>
      </c>
      <c r="D3" s="20" t="s">
        <v>1135</v>
      </c>
      <c r="E3" s="21" t="n">
        <v>2</v>
      </c>
      <c r="F3" s="22" t="s">
        <v>60</v>
      </c>
      <c r="G3" s="20"/>
      <c r="H3" s="20"/>
    </row>
    <row r="4" customFormat="false" ht="30" hidden="false" customHeight="true" outlineLevel="0" collapsed="false">
      <c r="A4" s="25" t="s">
        <v>1132</v>
      </c>
      <c r="B4" s="25" t="s">
        <v>1133</v>
      </c>
      <c r="C4" s="26" t="s">
        <v>1136</v>
      </c>
      <c r="D4" s="27" t="s">
        <v>1137</v>
      </c>
      <c r="E4" s="31" t="n">
        <v>3</v>
      </c>
      <c r="F4" s="22" t="s">
        <v>60</v>
      </c>
      <c r="G4" s="27"/>
      <c r="H4" s="27"/>
    </row>
    <row r="5" customFormat="false" ht="18" hidden="false" customHeight="true" outlineLevel="0" collapsed="false">
      <c r="A5" s="17" t="s">
        <v>1138</v>
      </c>
      <c r="B5" s="17" t="s">
        <v>1139</v>
      </c>
      <c r="C5" s="17"/>
      <c r="D5" s="17"/>
      <c r="E5" s="17"/>
      <c r="F5" s="17"/>
      <c r="G5" s="17"/>
      <c r="H5" s="17"/>
    </row>
    <row r="6" customFormat="false" ht="30" hidden="false" customHeight="true" outlineLevel="0" collapsed="false">
      <c r="A6" s="18" t="s">
        <v>1138</v>
      </c>
      <c r="B6" s="18" t="s">
        <v>1139</v>
      </c>
      <c r="C6" s="19" t="s">
        <v>1140</v>
      </c>
      <c r="D6" s="20" t="s">
        <v>1141</v>
      </c>
      <c r="E6" s="21" t="n">
        <v>2</v>
      </c>
      <c r="F6" s="22" t="s">
        <v>60</v>
      </c>
      <c r="G6" s="20"/>
      <c r="H6" s="20"/>
    </row>
    <row r="7" customFormat="false" ht="30" hidden="false" customHeight="true" outlineLevel="0" collapsed="false">
      <c r="A7" s="25" t="s">
        <v>1138</v>
      </c>
      <c r="B7" s="25" t="s">
        <v>1139</v>
      </c>
      <c r="C7" s="26" t="s">
        <v>1142</v>
      </c>
      <c r="D7" s="27" t="s">
        <v>1143</v>
      </c>
      <c r="E7" s="21" t="n">
        <v>2</v>
      </c>
      <c r="F7" s="22" t="s">
        <v>60</v>
      </c>
      <c r="G7" s="27"/>
      <c r="H7" s="27"/>
    </row>
    <row r="8" customFormat="false" ht="30" hidden="false" customHeight="true" outlineLevel="0" collapsed="false">
      <c r="A8" s="18" t="s">
        <v>1138</v>
      </c>
      <c r="B8" s="18" t="s">
        <v>1139</v>
      </c>
      <c r="C8" s="19" t="s">
        <v>1144</v>
      </c>
      <c r="D8" s="20" t="s">
        <v>1145</v>
      </c>
      <c r="E8" s="21" t="n">
        <v>2</v>
      </c>
      <c r="F8" s="22" t="s">
        <v>60</v>
      </c>
      <c r="G8" s="20"/>
      <c r="H8" s="20"/>
    </row>
    <row r="9" customFormat="false" ht="30" hidden="false" customHeight="true" outlineLevel="0" collapsed="false">
      <c r="A9" s="25" t="s">
        <v>1138</v>
      </c>
      <c r="B9" s="25" t="s">
        <v>1139</v>
      </c>
      <c r="C9" s="26" t="s">
        <v>1146</v>
      </c>
      <c r="D9" s="27" t="s">
        <v>1147</v>
      </c>
      <c r="E9" s="21" t="n">
        <v>2</v>
      </c>
      <c r="F9" s="22" t="s">
        <v>60</v>
      </c>
      <c r="G9" s="27"/>
      <c r="H9" s="27"/>
    </row>
    <row r="10" customFormat="false" ht="30" hidden="false" customHeight="true" outlineLevel="0" collapsed="false">
      <c r="A10" s="18" t="s">
        <v>1138</v>
      </c>
      <c r="B10" s="18" t="s">
        <v>1139</v>
      </c>
      <c r="C10" s="19" t="s">
        <v>1148</v>
      </c>
      <c r="D10" s="20" t="s">
        <v>1149</v>
      </c>
      <c r="E10" s="31" t="n">
        <v>3</v>
      </c>
      <c r="F10" s="22" t="s">
        <v>60</v>
      </c>
      <c r="G10" s="20"/>
      <c r="H10" s="20"/>
    </row>
    <row r="11" customFormat="false" ht="30" hidden="false" customHeight="true" outlineLevel="0" collapsed="false">
      <c r="A11" s="25" t="s">
        <v>1138</v>
      </c>
      <c r="B11" s="25" t="s">
        <v>1139</v>
      </c>
      <c r="C11" s="26" t="s">
        <v>1150</v>
      </c>
      <c r="D11" s="27" t="s">
        <v>1151</v>
      </c>
      <c r="E11" s="31" t="n">
        <v>3</v>
      </c>
      <c r="F11" s="22" t="s">
        <v>60</v>
      </c>
      <c r="G11" s="27"/>
      <c r="H11" s="27"/>
    </row>
    <row r="12" customFormat="false" ht="30" hidden="false" customHeight="true" outlineLevel="0" collapsed="false">
      <c r="A12" s="18" t="s">
        <v>1138</v>
      </c>
      <c r="B12" s="18" t="s">
        <v>1139</v>
      </c>
      <c r="C12" s="19" t="s">
        <v>1152</v>
      </c>
      <c r="D12" s="20" t="s">
        <v>1153</v>
      </c>
      <c r="E12" s="31" t="n">
        <v>3</v>
      </c>
      <c r="F12" s="22" t="s">
        <v>60</v>
      </c>
      <c r="G12" s="20"/>
      <c r="H12" s="20"/>
    </row>
    <row r="13" customFormat="false" ht="30" hidden="false" customHeight="true" outlineLevel="0" collapsed="false">
      <c r="A13" s="25" t="s">
        <v>1138</v>
      </c>
      <c r="B13" s="25" t="s">
        <v>1139</v>
      </c>
      <c r="C13" s="26" t="s">
        <v>1154</v>
      </c>
      <c r="D13" s="27" t="s">
        <v>1155</v>
      </c>
      <c r="E13" s="31" t="n">
        <v>3</v>
      </c>
      <c r="F13" s="22" t="s">
        <v>60</v>
      </c>
      <c r="G13" s="27"/>
      <c r="H13" s="27"/>
    </row>
    <row r="14" customFormat="false" ht="18" hidden="false" customHeight="true" outlineLevel="0" collapsed="false">
      <c r="A14" s="17" t="s">
        <v>1156</v>
      </c>
      <c r="B14" s="17" t="s">
        <v>1157</v>
      </c>
      <c r="C14" s="17"/>
      <c r="D14" s="17"/>
      <c r="E14" s="17"/>
      <c r="F14" s="17"/>
      <c r="G14" s="17"/>
      <c r="H14" s="17"/>
    </row>
    <row r="15" customFormat="false" ht="30" hidden="false" customHeight="true" outlineLevel="0" collapsed="false">
      <c r="A15" s="18" t="s">
        <v>1156</v>
      </c>
      <c r="B15" s="18" t="s">
        <v>1157</v>
      </c>
      <c r="C15" s="19" t="s">
        <v>1158</v>
      </c>
      <c r="D15" s="20" t="s">
        <v>1159</v>
      </c>
      <c r="E15" s="21" t="n">
        <v>2</v>
      </c>
      <c r="F15" s="22" t="s">
        <v>60</v>
      </c>
      <c r="G15" s="20"/>
      <c r="H15" s="20"/>
    </row>
    <row r="16" customFormat="false" ht="30" hidden="false" customHeight="true" outlineLevel="0" collapsed="false">
      <c r="A16" s="25" t="s">
        <v>1156</v>
      </c>
      <c r="B16" s="25" t="s">
        <v>1157</v>
      </c>
      <c r="C16" s="26" t="s">
        <v>1160</v>
      </c>
      <c r="D16" s="27" t="s">
        <v>1161</v>
      </c>
      <c r="E16" s="21" t="n">
        <v>2</v>
      </c>
      <c r="F16" s="22" t="s">
        <v>60</v>
      </c>
      <c r="G16" s="27"/>
      <c r="H16" s="27"/>
    </row>
  </sheetData>
  <conditionalFormatting sqref="F2:F16">
    <cfRule type="cellIs" priority="2" operator="equal" aboveAverage="0" equalAverage="0" bottom="0" percent="0" rank="0" text="" dxfId="0">
      <formula>"Compliant"</formula>
    </cfRule>
    <cfRule type="cellIs" priority="3" operator="equal" aboveAverage="0" equalAverage="0" bottom="0" percent="0" rank="0" text="" dxfId="0">
      <formula>"In Progress"</formula>
    </cfRule>
    <cfRule type="cellIs" priority="4" operator="equal" aboveAverage="0" equalAverage="0" bottom="0" percent="0" rank="0" text="" dxfId="0">
      <formula>"Not Applicable"</formula>
    </cfRule>
  </conditionalFormatting>
  <dataValidations count="1">
    <dataValidation allowBlank="true" errorStyle="stop" operator="between" showDropDown="false" showErrorMessage="false" showInputMessage="false" sqref="F2:F101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376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2026-03-04T10:14:28Z</dcterms:created>
  <dc:creator>openpyxl</dc:creator>
  <dc:description/>
  <dc:language>pt-PT</dc:language>
  <cp:lastModifiedBy/>
  <dcterms:modified xsi:type="dcterms:W3CDTF">2026-06-06T21:52:04Z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