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milanmarcinco/School/desofs/desofs2026-wed_ffs_4/Deliverables/Phase2-Final_Sprint/"/>
    </mc:Choice>
  </mc:AlternateContent>
  <xr:revisionPtr revIDLastSave="0" documentId="13_ncr:1_{210C7B1E-6AA7-8B4D-88C9-11E9FB1E95BD}" xr6:coauthVersionLast="47" xr6:coauthVersionMax="47" xr10:uidLastSave="{00000000-0000-0000-0000-000000000000}"/>
  <bookViews>
    <workbookView xWindow="0" yWindow="620" windowWidth="33600" windowHeight="19320" tabRatio="500" firstSheet="9" activeTab="16"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K6" i="1" s="1"/>
  <c r="G6" i="1"/>
  <c r="H6" i="1" s="1"/>
  <c r="D6" i="1"/>
  <c r="D23" i="1" l="1"/>
  <c r="L23" i="1"/>
  <c r="K23" i="1"/>
  <c r="H23" i="1"/>
  <c r="M6" i="1"/>
  <c r="M23" i="1" s="1"/>
  <c r="G23" i="1"/>
  <c r="E6" i="1"/>
  <c r="E23" i="1" s="1"/>
  <c r="J23" i="1"/>
</calcChain>
</file>

<file path=xl/sharedStrings.xml><?xml version="1.0" encoding="utf-8"?>
<sst xmlns="http://schemas.openxmlformats.org/spreadsheetml/2006/main" count="2486" uniqueCount="1167">
  <si>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</si>
  <si>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</si>
  <si>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</si>
  <si>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</si>
  <si>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</si>
  <si>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</si>
  <si>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</si>
  <si>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</si>
  <si>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</si>
  <si>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</si>
  <si>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</si>
  <si>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</si>
  <si>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</si>
  <si>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</si>
  <si>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</si>
  <si>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</si>
  <si>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</si>
  <si>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</si>
  <si>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</si>
  <si>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</si>
  <si>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</si>
  <si>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</si>
  <si>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</si>
  <si>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</si>
  <si>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</si>
  <si>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</si>
  <si>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</si>
  <si>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</si>
  <si>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</si>
  <si>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</si>
  <si>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</si>
  <si>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</si>
  <si>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</si>
  <si>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</si>
  <si>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</si>
  <si>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</si>
  <si>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</si>
  <si>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</si>
  <si>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</si>
  <si>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</si>
  <si>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</si>
  <si>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</si>
  <si>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</si>
  <si>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</si>
  <si>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</si>
  <si>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Compliant</t>
  </si>
  <si>
    <t>getSafeOriginalName() uses StringUtils.cleanPath() for canonicalization; Spring/Jackson deserializes JSON input exactly once</t>
  </si>
  <si>
    <t>AttachmentService.java:getSafeOriginalName()</t>
  </si>
  <si>
    <t>V1.1.2</t>
  </si>
  <si>
    <t>Verify that the application performs output encoding and escaping either as a final step before being used by the interpreter for which it is intended or by the interpreter itself.</t>
  </si>
  <si>
    <t>JSON responses encoded by Jackson (sufficient for a REST API).</t>
  </si>
  <si>
    <t>CommentService.java:addComment()</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</si>
  <si>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</si>
  <si>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</si>
  <si>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</si>
  <si>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</si>
  <si>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Pure JSON REST API; Jackson handles all output encoding. No HTML or XML responses produced</t>
  </si>
  <si>
    <t>SecurityConfig.java, all controllers</t>
  </si>
  <si>
    <t>V1.2.2</t>
  </si>
  <si>
    <t>Verify that when dynamically building URLs, untrusted data is encoded according to its context (e.g., URL encoding or base64url encoding for query or path parameters). Ensure that only safe URL protocols are permitted (e.g., disallow javascript: or data:).</t>
  </si>
  <si>
    <t>Not Applicable</t>
  </si>
  <si>
    <t>No dynamic URL construction in the application</t>
  </si>
  <si>
    <t>V1.2.3</t>
  </si>
  <si>
    <t>Verify that output encoding or escaping is used when dynamically building JavaScript content (including JSON), to avoid changing the message or document structure (to avoid JavaScript and JSON injection).</t>
  </si>
  <si>
    <t>No JavaScript context output. REST API only.</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</si>
  <si>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</si>
  <si>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</si>
  <si>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JPA/Hibernate used for all DB access</t>
  </si>
  <si>
    <t>All *Repository.java files</t>
  </si>
  <si>
    <t>V1.2.5</t>
  </si>
  <si>
    <t>Verify that the application protects against OS command injection and that operating system calls use parameterized OS queries or use contextual command line output encoding.</t>
  </si>
  <si>
    <t>No OS command execution. File ops use Java NIO (Files.createDirectories, file.transferTo)</t>
  </si>
  <si>
    <t>AttachmentService.java</t>
  </si>
  <si>
    <t>V1.2.6</t>
  </si>
  <si>
    <t>Verify that the application protects against LDAP injection vulnerabilities, or that specific security controls to prevent LDAP injection have been implemented.</t>
  </si>
  <si>
    <t>No LDAP used</t>
  </si>
  <si>
    <t>V1.2.7</t>
  </si>
  <si>
    <t>Verify that the application is protected against XPath injection attacks by using query parameterization or precompiled queries.</t>
  </si>
  <si>
    <t>No XPath used</t>
  </si>
  <si>
    <t>V1.2.8</t>
  </si>
  <si>
    <t>Verify that LaTeX processors are configured securely (such as not using the "--shell-escape" flag) and an allowlist of commands is used to prevent LaTeX injection attacks.</t>
  </si>
  <si>
    <t>No LaTeX used</t>
  </si>
  <si>
    <t>V1.2.9</t>
  </si>
  <si>
    <t>Verify that the application escapes special characters in regular expressions (typically using a backslash) to prevent them from being misinterpreted as metacharacters.</t>
  </si>
  <si>
    <t>Only regex used is Pattern.compile("@(\\w+)"). Fixed pattern, no user input injected into regex</t>
  </si>
  <si>
    <t>CommentService.java:MENTION_PATTERN</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</si>
  <si>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</si>
  <si>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</si>
  <si>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No CSV export functionality</t>
  </si>
  <si>
    <t>V1.3</t>
  </si>
  <si>
    <t>Sanitization</t>
  </si>
  <si>
    <t>V1.3.1</t>
  </si>
  <si>
    <t>Verify that all untrusted HTML input from WYSIWYG editors or similar is sanitized using a well-known and secure HTML sanitization library or framework feature.</t>
  </si>
  <si>
    <t>No WYSIWYG editor or HTML input.</t>
  </si>
  <si>
    <t>V1.3.2</t>
  </si>
  <si>
    <t>Verify that the application avoids the use of eval() or other dynamic code execution features such as Spring Expression Language (SpEL). Where there is no alternative, any user input being included must be sanitized before being executed.</t>
  </si>
  <si>
    <t>No eval(), no SpEL with user input. @EnableMethodSecurity used but no user-controlled expressions</t>
  </si>
  <si>
    <t>SecurityConfig.java, JwtAuthFilter.java</t>
  </si>
  <si>
    <t>V1.3.3</t>
  </si>
  <si>
    <t>Verify that data being passed to a potentially dangerous context is sanitized beforehand to enforce safety measures, such as only allowing characters which are safe for this context and trimming input which is too long.</t>
  </si>
  <si>
    <t>Input validated via Spring validation and custom checks before use.</t>
  </si>
  <si>
    <t>TaskService.validateTitle(), AttachmentService.validateFile()</t>
  </si>
  <si>
    <t>V1.3.4</t>
  </si>
  <si>
    <t>Verify that user-supplied Scalable Vector Graphics (SVG) scriptable content is validated or sanitized to contain only tags and attributes (such as draw graphics) that are safe for the application, e.g., do not contain scripts and foreignObject.</t>
  </si>
  <si>
    <t>No SVG upload or processing.</t>
  </si>
  <si>
    <t>V1.3.5</t>
  </si>
  <si>
    <t>Verify that the application sanitizes or disables user-supplied scriptable or expression template language content, such as Markdown, CSS or XSL stylesheets, BBCode, or similar.</t>
  </si>
  <si>
    <t>No template engine used</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</si>
  <si>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</si>
  <si>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</si>
  <si>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No outbound HTTP calls made by the application</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</si>
  <si>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</si>
  <si>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</si>
  <si>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No user-controlled templates</t>
  </si>
  <si>
    <t>V1.3.8</t>
  </si>
  <si>
    <t>Verify that the application appropriately sanitizes untrusted input before use in Java Naming and Directory Interface (JNDI) queries and that JNDI is configured securely to prevent JNDI injection attacks.</t>
  </si>
  <si>
    <t>No JNDI lookups.</t>
  </si>
  <si>
    <t>V1.3.9</t>
  </si>
  <si>
    <t>Verify that the application sanitizes content before it is sent to memcache to prevent injection attacks.</t>
  </si>
  <si>
    <t>No memcache usage.</t>
  </si>
  <si>
    <t>V1.3.10</t>
  </si>
  <si>
    <t>Verify that format strings which might resolve in an unexpected or malicious way when used are sanitized before being processed.</t>
  </si>
  <si>
    <t>No user-controlled format strings. String.format() in AttachmentService uses only controlled values (UUID + extension)</t>
  </si>
  <si>
    <t>AttachmentService.java:store()</t>
  </si>
  <si>
    <t>V1.3.11</t>
  </si>
  <si>
    <t>Verify that the application sanitizes user input before passing to mail systems to protect against SMTP or IMAP injection.</t>
  </si>
  <si>
    <t>No email/SMTP functionality</t>
  </si>
  <si>
    <t>V1.3.12</t>
  </si>
  <si>
    <t>Verify that regular expressions are free from elements causing exponential backtracking, and ensure untrusted input is sanitized to mitigate ReDoS or Runaway Regex attacks.</t>
  </si>
  <si>
    <t>Only regex is @(\\w+) — simple, no nested quantifiers, no ReDoS risk</t>
  </si>
  <si>
    <t>V1.4</t>
  </si>
  <si>
    <t>Memory, String, and Unmanaged Code</t>
  </si>
  <si>
    <t>V1.4.1</t>
  </si>
  <si>
    <t>Verify that the application uses memory-safe string, safer memory copy and pointer arithmetic to detect or prevent stack, buffer, or heap overflows.</t>
  </si>
  <si>
    <t>Java/JVM is memory-safe by design, no pointer arithmetic</t>
  </si>
  <si>
    <t>V1.4.2</t>
  </si>
  <si>
    <t>Verify that sign, range, and input validation techniques are used to prevent integer overflows.</t>
  </si>
  <si>
    <t>Java/JVM. No integer overflow via pointer ops; language handles this</t>
  </si>
  <si>
    <t>V1.4.3</t>
  </si>
  <si>
    <t>Verify that dynamically allocated memory and resources are released, and that references or pointers to freed memory are removed or set to null to prevent dangling pointers and use-after-free vulnerabilities.</t>
  </si>
  <si>
    <t>JVM garbage collection; no manual memory management</t>
  </si>
  <si>
    <t>V1.5</t>
  </si>
  <si>
    <t>Safe Deserialization</t>
  </si>
  <si>
    <t>V1.5.1</t>
  </si>
  <si>
    <t>Verify that the application configures XML parsers to use a restrictive configuration and that unsafe features such as resolving external entities are disabled to prevent XML eXternal Entity (XXE) attacks.</t>
  </si>
  <si>
    <t>Uses Jackson for JSON parsing (default secure config). No XML parsing of untrusted data.</t>
  </si>
  <si>
    <t>JwtUtil.java</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</si>
  <si>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</si>
  <si>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</si>
  <si>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No deserialization of untrusted Java objects. Jackson deserializes to DTOs with known types only.</t>
  </si>
  <si>
    <t>All DTOs (CreateCommentRequest, etc.)</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</si>
  <si>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</si>
  <si>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</si>
  <si>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Single JSON parser (Jackson) used consistently.</t>
  </si>
  <si>
    <t>pom.xml</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</si>
  <si>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</si>
  <si>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</si>
  <si>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</si>
  <si>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</si>
  <si>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 xml:space="preserve">Validation rules documented and enforced in code. </t>
  </si>
  <si>
    <t>04_SecurityDesign.md, 01_Requirements.md SR-5/SR-6/SR-7, TaskService.java, CommentService.java, AttachmentService.java</t>
  </si>
  <si>
    <t>V2.1.2</t>
  </si>
  <si>
    <t>Verify that the application's documentation defines how to validate the logical and contextual consistency of combined data items, such as checking that suburb and ZIP code match.</t>
  </si>
  <si>
    <t>Contextual rules documented (FR-13, FR-15) and enforced — strict status pipeline, member self-assignment only</t>
  </si>
  <si>
    <t>TaskStatus.java, TaskService.java, 01_Requirements.md FR-13/FR-15</t>
  </si>
  <si>
    <t>V2.1.3</t>
  </si>
  <si>
    <t>Verify that expectations for business logic limits and validations are documented, including both per-user and globally across the application.</t>
  </si>
  <si>
    <t>Per-user (10 uploads/hour) and global limits (25MB, 5000 chars) documented in SR-14 and configurable via application.yml</t>
  </si>
  <si>
    <t>application.yml, 01_Requirements.md SR-14</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</si>
  <si>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</si>
  <si>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</si>
  <si>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</si>
  <si>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</si>
  <si>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All inputs validated in service layer.</t>
  </si>
  <si>
    <t>TaskService.java, CommentService.java, AttachmentService.java</t>
  </si>
  <si>
    <t>V2.2.2</t>
  </si>
  <si>
    <t>Verify that the application is designed to enforce input validation at a trusted service layer. While client-side validation improves usability and should be encouraged, it must not be relied upon as a security control.</t>
  </si>
  <si>
    <t>All validation server-side only, no client-side validation exists</t>
  </si>
  <si>
    <t>04_SecurityDesign.md</t>
  </si>
  <si>
    <t>V2.2.3</t>
  </si>
  <si>
    <t>Verify that the application ensures that combinations of related data items are reasonable according to the pre-defined rules.</t>
  </si>
  <si>
    <t>Status transitions enforced via TaskStatus.canTransitionTo() in TaskService.changeTaskStatus(). Assignee validated as project member in validateAssignee(). Self-assign restricted to unassigned tasks.</t>
  </si>
  <si>
    <t>04_SecurityDesign.md, src/main/java/com/desofs/task/TaskService.java</t>
  </si>
  <si>
    <t>V2.3</t>
  </si>
  <si>
    <t>Business Logic Security</t>
  </si>
  <si>
    <t>V2.3.1</t>
  </si>
  <si>
    <t>Verify that the application will only process business logic flows for the same user in the expected sequential step order and without skipping steps.</t>
  </si>
  <si>
    <t>Strict one-directional state machine: TODO → IN_PROGRESS → DONE. Reversals rejected</t>
  </si>
  <si>
    <t>V2.3.2</t>
  </si>
  <si>
    <t>Verify that business logic limits are implemented per the application's documentation to avoid business logic flaws being exploited.</t>
  </si>
  <si>
    <t>All limits enforced: upload rate (10/hr), file size (25MB), comment (5000 chars), title (255 chars)</t>
  </si>
  <si>
    <t>AttachmentService.java, CommentService.java</t>
  </si>
  <si>
    <t>V2.3.3</t>
  </si>
  <si>
    <t>Verify that transactions are being used at the business logic level such that either a business logic operation succeeds in its entirety or it is rolled back to the previous correct state.</t>
  </si>
  <si>
    <t>DB operations fully transactional.</t>
  </si>
  <si>
    <t>V2.3.4</t>
  </si>
  <si>
    <t>Verify that business logic level locking mechanisms are used to ensure that limited quantity resources (such as theater seats or delivery slots) cannot be double-booked by manipulating the application's logic.</t>
  </si>
  <si>
    <t>No finite-quantity resources in this application</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</si>
  <si>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</si>
  <si>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</si>
  <si>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No high-value flows requiring multi-user approval</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</si>
  <si>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</si>
  <si>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</si>
  <si>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</si>
  <si>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</si>
  <si>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In Progress</t>
  </si>
  <si>
    <t>AttachmentService.java:enforceUploadRateLimit(), SecurityConfig.java</t>
  </si>
  <si>
    <t>V2.4.2</t>
  </si>
  <si>
    <t>Verify that business logic flows require realistic human timing, preventing excessively rapid transaction submissions.</t>
  </si>
  <si>
    <t>No transaction timing requirements for business flows.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</si>
  <si>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</si>
  <si>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</si>
  <si>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</si>
  <si>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</si>
  <si>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API-only backend. No browser frontend.</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</si>
  <si>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</si>
  <si>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</si>
  <si>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</si>
  <si>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</si>
  <si>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API-only. No HTML rendering.</t>
  </si>
  <si>
    <t>V3.2.2</t>
  </si>
  <si>
    <t>Verify that content intended to be displayed as text, rather than rendered as HTML, is handled using safe rendering functions (such as createTextNode or textContent) to prevent unintended execution of content such as HTML or JavaScript.</t>
  </si>
  <si>
    <t>API-only. No DOM manipulation.</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</si>
  <si>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</si>
  <si>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</si>
  <si>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API-only. No client-side JavaScript.</t>
  </si>
  <si>
    <t>V3.3</t>
  </si>
  <si>
    <t>Cookie Setup</t>
  </si>
  <si>
    <t>V3.3.1</t>
  </si>
  <si>
    <t>Verify that cookies have the 'Secure' attribute set, and if the '\__Host-' prefix is not used for the cookie name, the '__Secure-' prefix must be used for the cookie name.</t>
  </si>
  <si>
    <t>API-only. No cookies (Bearer tokens in Authorization header).</t>
  </si>
  <si>
    <t>V3.3.2</t>
  </si>
  <si>
    <t>Verify that each cookie's 'SameSite' attribute value is set according to the purpose of the cookie, to limit exposure to user interface redress attacks and browser-based request forgery attacks, commonly known as cross-site request forgery (CSRF).</t>
  </si>
  <si>
    <t>No cookies used.</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</si>
  <si>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</si>
  <si>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</si>
  <si>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</si>
  <si>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</si>
  <si>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</si>
  <si>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</si>
  <si>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</si>
  <si>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</si>
  <si>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</si>
  <si>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</si>
  <si>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API-only. HSTS would be configured at reverse proxy/nginx level, not application.</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</si>
  <si>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</si>
  <si>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</si>
  <si>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API-only. CORS not configured in app (would need to be added for SPA frontend).</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</si>
  <si>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</si>
  <si>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</si>
  <si>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API-only. No CSP needed without HTML rendering.</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</si>
  <si>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</si>
  <si>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</si>
  <si>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API-only. No content sniffing risk for JSON responses.</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</si>
  <si>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</si>
  <si>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</si>
  <si>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API-only. No Referrer-Policy needed.</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</si>
  <si>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</si>
  <si>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</si>
  <si>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API-only. No frame-ancestors needed.</t>
  </si>
  <si>
    <t>V3.4.7</t>
  </si>
  <si>
    <t>Verify that the Content-Security-Policy header field specifies a location to report violations.</t>
  </si>
  <si>
    <t>No CSP.</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</si>
  <si>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</si>
  <si>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</si>
  <si>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API-only. No COOP needed.</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</si>
  <si>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</si>
  <si>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</si>
  <si>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</si>
  <si>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</si>
  <si>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API-only. No CSRF risk for stateless JWT API (no cookies/session).</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</si>
  <si>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</si>
  <si>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</si>
  <si>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No CORS preflight reliance.</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</si>
  <si>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</si>
  <si>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</si>
  <si>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POST/PUT/PATCH/DELETE used appropriately. GET only for reads.</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</si>
  <si>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</si>
  <si>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</si>
  <si>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Single application. No separate hostname separation.</t>
  </si>
  <si>
    <t>V3.5.5</t>
  </si>
  <si>
    <t>Verify that messages received by the postMessage interface are discarded if the origin of the message is not trusted, or if the syntax of the message is invalid.</t>
  </si>
  <si>
    <t>No postMessage usage.</t>
  </si>
  <si>
    <t>V3.5.6</t>
  </si>
  <si>
    <t>Verify that JSONP functionality is not enabled anywhere across the application to avoid Cross-Site Script Inclusion (XSSI) attacks.</t>
  </si>
  <si>
    <t>No JSONP.</t>
  </si>
  <si>
    <t>V3.5.7</t>
  </si>
  <si>
    <t>Verify that data requiring authorization is not included in script resource responses, like JavaScript files, to prevent Cross-Site Script Inclusion (XSSI) attacks.</t>
  </si>
  <si>
    <t>No script resources with auth data.</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</si>
  <si>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</si>
  <si>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</si>
  <si>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No authenticated resources served to browsers.</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</si>
  <si>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</si>
  <si>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</si>
  <si>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</si>
  <si>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</si>
  <si>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No external client-side assets. API-only.</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</si>
  <si>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</si>
  <si>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</si>
  <si>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</si>
  <si>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</si>
  <si>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No client-side technologies.</t>
  </si>
  <si>
    <t>V3.7.2</t>
  </si>
  <si>
    <t>Verify that the application will only automatically redirect the user to a different hostname or domain (which is not controlled by the application) where the destination appears on an allowlist.</t>
  </si>
  <si>
    <t>No redirects in API.</t>
  </si>
  <si>
    <t>V3.7.3</t>
  </si>
  <si>
    <t>Verify that the application shows a notification when the user is being redirected to a URL outside of the application's control, with an option to cancel the navigation.</t>
  </si>
  <si>
    <t>No redirects.</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</si>
  <si>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</si>
  <si>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</si>
  <si>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No HSTS preload (API-only).</t>
  </si>
  <si>
    <t>V3.7.5</t>
  </si>
  <si>
    <t>Verify that the application behaves as documented (such as warning the user or blocking access) if the browser used to access the application does not support the expected security features.</t>
  </si>
  <si>
    <t>No browser feature detection needed.</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</si>
  <si>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</si>
  <si>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</si>
  <si>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</si>
  <si>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</si>
  <si>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 xml:space="preserve"> Spring Boot sets Content-Type: application/json automatically. Jackson uses UTF-8.</t>
  </si>
  <si>
    <t>AttachmentController.java:downloadAttachment()</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</si>
  <si>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</si>
  <si>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</si>
  <si>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No HTTPS redirect configured — HTTP allowed in development. Planned for Sprint 2</t>
  </si>
  <si>
    <t>SecurityConfig.java, 04_SecurityDesign.md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</si>
  <si>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</si>
  <si>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</si>
  <si>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No load balancer or intermediary proxy in current deployment</t>
  </si>
  <si>
    <t>V4.1.4</t>
  </si>
  <si>
    <t>Verify that only HTTP methods that are explicitly supported by the application or its API (including OPTIONS during preflight requests) can be used and that unused methods are blocked.</t>
  </si>
  <si>
    <t>Spring Boot enables standard methods by default. No explicit HTTP method allowlist configured restricting to only used methods</t>
  </si>
  <si>
    <t xml:space="preserve">SecurityConfig.java, </t>
  </si>
  <si>
    <t>V4.1.5</t>
  </si>
  <si>
    <t>Verify that per-message digital signatures are used to provide additional assurance on top of transport protections for requests or transactions which are highly sensitive or which traverse a number of systems.</t>
  </si>
  <si>
    <t>No per-message digital signatures — JWT covers authentication, not per-message signing</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</si>
  <si>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</si>
  <si>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</si>
  <si>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</si>
  <si>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</si>
  <si>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No load balancer in current deployment scope</t>
  </si>
  <si>
    <t>V4.2.2</t>
  </si>
  <si>
    <t>Verify that when generating HTTP messages, the Content-Length header field does not conflict with the length of the content as determined by the framing of the HTTP protocol, in order to prevent request smuggling attacks.</t>
  </si>
  <si>
    <t>HTTP/2 and HTTP/3 not configured — app runs plain HTTP/1.1 in development</t>
  </si>
  <si>
    <t>application.yml</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</si>
  <si>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</si>
  <si>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</si>
  <si>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</si>
  <si>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</si>
  <si>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</si>
  <si>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</si>
  <si>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</si>
  <si>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</si>
  <si>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</si>
  <si>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</si>
  <si>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No GraphQL used</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</si>
  <si>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</si>
  <si>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</si>
  <si>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</si>
  <si>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</si>
  <si>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</si>
  <si>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</si>
  <si>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No WebSockets used</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</si>
  <si>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</si>
  <si>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</si>
  <si>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</si>
  <si>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</si>
  <si>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</si>
  <si>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</si>
  <si>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</si>
  <si>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</si>
  <si>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 xml:space="preserve"> </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</si>
  <si>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</si>
  <si>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</si>
  <si>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2</t>
  </si>
  <si>
    <t>Permitted types, extensions and max size documented and enforced. Whitelist: pdf, doc, docx, xls, xlsx, ppt, pptx, jpg, jpeg, png, gif. Max: 25MB</t>
  </si>
  <si>
    <t>04_SecurityDesign.md, 01_Requirements.md SR-5/SR-6, AttachmentStorageProperties.java</t>
  </si>
  <si>
    <t>V5.2</t>
  </si>
  <si>
    <t>File Upload and Content</t>
  </si>
  <si>
    <t>V5.2.1</t>
  </si>
  <si>
    <t>Verify that the application will only accept files of a size which it can process without causing a loss of performance or a denial of service attack.</t>
  </si>
  <si>
    <t>1</t>
  </si>
  <si>
    <t>25MB limit enforced at two layers: service (validateFile()) and Spring multipart (application.yml). Exceeding limit returns 413</t>
  </si>
  <si>
    <t>AttachmentService.java:validateFile(), application.yml, AttachmentController.java:handleMaxUploadSizeExceeded()</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</si>
  <si>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</si>
  <si>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</si>
  <si>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Extension extracted and validated against allowlist. MIME type verified to match extension. Archives not in whitelist so rejected entirely</t>
  </si>
  <si>
    <t>AttachmentService.java:getExtension(), validateFile()</t>
  </si>
  <si>
    <t>V5.2.3</t>
  </si>
  <si>
    <t>Verify that the application checks compressed files (e.g., zip, gz, docx, odt) against maximum allowed uncompressed size and against maximum number of files before uncompressing the file.</t>
  </si>
  <si>
    <t>No archive/zip decompression performed. Archives not in allowed extensions whitelist</t>
  </si>
  <si>
    <t>V5.2.4</t>
  </si>
  <si>
    <t>Verify that a file size quota and maximum number of files per user are enforced to ensure that a single user cannot fill up the storage with too many files, or excessively large files.</t>
  </si>
  <si>
    <t>3</t>
  </si>
  <si>
    <t>Upload rate limit enforced (10/hour per user). No total storage quota per user. The Application enforces a maximum file size per upload (25MB)</t>
  </si>
  <si>
    <t>AttachmentService.java:enforceUploadRateLimit(), AAttachmentStorageProperties.java</t>
  </si>
  <si>
    <t>V5.2.5</t>
  </si>
  <si>
    <t>Verify that the application does not allow uploading compressed files containing symlinks unless this is specifically required (in which case it will be necessary to enforce an allowlist of the files that can be symlinked to).</t>
  </si>
  <si>
    <t>No compressed file uploads permitted</t>
  </si>
  <si>
    <t>V5.2.6</t>
  </si>
  <si>
    <t>Verify that the application rejects uploaded images with a pixel size larger than the maximum allowed, to prevent pixel flood attacks.</t>
  </si>
  <si>
    <t>Not Started</t>
  </si>
  <si>
    <t>AttachmentService.java:validateFile()</t>
  </si>
  <si>
    <t>V5.3</t>
  </si>
  <si>
    <t>File Storage</t>
  </si>
  <si>
    <t>V5.3.1</t>
  </si>
  <si>
    <t>Verify that files uploaded or generated by untrusted input and stored in a public folder, are not executed as server-side program code when accessed directly with an HTTP request.</t>
  </si>
  <si>
    <t>Files served only via authenticated endpoint — no direct URL access. No execution path exists. resolveStoragePath() ensures files stay within storageRoot</t>
  </si>
  <si>
    <t>AttachmentService.java:resolveStoragePath(), AttachmentController.java:downloadAttachment()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</si>
  <si>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</si>
  <si>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</si>
  <si>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Stored filename is always UUID.randomUUID() + extension. Original name stored separately in DB only. getSafeOriginalName() rejects /, \, ..</t>
  </si>
  <si>
    <t>AttachmentService.java:store(), getSafeOriginalName()</t>
  </si>
  <si>
    <t>V5.3.3</t>
  </si>
  <si>
    <t>Verify that server-side file processing, such as file decompression, ignores user-provided path information to prevent vulnerabilities such as zip slip.</t>
  </si>
  <si>
    <t>No archive decompression performed</t>
  </si>
  <si>
    <t>V5.4</t>
  </si>
  <si>
    <t>File Download</t>
  </si>
  <si>
    <t>V5.4.1</t>
  </si>
  <si>
    <t>Verify that the application validates or ignores user-submitted filenames, including in a JSON, JSONP, or URL parameter and specifies a filename in the Content-Disposition header field in the response.</t>
  </si>
  <si>
    <t>User-submitted filename sanitized on upload (getSafeOriginalName() rejects path traversal). Served via Content-Disposition: attachment header, not as executable</t>
  </si>
  <si>
    <t>AttachmentController.java:downloadAttachment(), AttachmentService.java:getSafeOriginalName()</t>
  </si>
  <si>
    <t>V5.4.2</t>
  </si>
  <si>
    <t>Verify that file names served (e.g., in HTTP response header fields or email attachments) are encoded or sanitized (e.g., following RFC 6266) to preserve document structure and prevent injection attacks.</t>
  </si>
  <si>
    <t xml:space="preserve">Spring ContentDisposition.filename() provides basic encoding. </t>
  </si>
  <si>
    <t>V5.4.3</t>
  </si>
  <si>
    <t>Verify that files obtained from untrusted sources are scanned by antivirus scanners to prevent serving of known malicious content.</t>
  </si>
  <si>
    <t>No antivirus scanning. MIME type and extension validation only.</t>
  </si>
  <si>
    <t>AttachmentService.java:validateFile(), Deliverables/Phase2/03_Security_Review_Findings.md</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</si>
  <si>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</si>
  <si>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</si>
  <si>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</si>
  <si>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</si>
  <si>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04_SecurityDesign.md and 06_SecurityTesting.md explicitly document rate limiting (5/min per user, 20/hour per IP, 15-min lockout) and account lockout.</t>
  </si>
  <si>
    <t>04_SecurityDesign.md, 06_SecurityTesting.md</t>
  </si>
  <si>
    <t>V6.1.2</t>
  </si>
  <si>
    <t>Verify that a list of context-specific words is documented in order to prevent their use in passwords. The list could include permutations of organization names, product names, system identifiers, project codenames, department or role names, and similar.</t>
  </si>
  <si>
    <t>Passwords are validated to block context-specific words (organization, project, system, role names, etc.)</t>
  </si>
  <si>
    <t>forbiddenpasswordwords.java, AuthService.java</t>
  </si>
  <si>
    <t>V6.1.3</t>
  </si>
  <si>
    <t>Verify that, if the application includes multiple authentication pathways, these are all documented together with the security controls and authentication strength which must be consistently enforced across them.</t>
  </si>
  <si>
    <t>A single JWT Bearer authentication pathway is fully documented in 03_Architecture.md, 05_API_Specifications.md, and implemented consistently in SecurityConfig.java and JwtAuthFilter.java.</t>
  </si>
  <si>
    <t>03_Architecture.md, 05_API_Specifications.md</t>
  </si>
  <si>
    <t>V6.2</t>
  </si>
  <si>
    <t>Password Security</t>
  </si>
  <si>
    <t>V6.2.1</t>
  </si>
  <si>
    <t>Verify that user set passwords are at least 8 characters in length although a minimum of 15 characters is strongly recommended.</t>
  </si>
  <si>
    <t>AuthService.java</t>
  </si>
  <si>
    <t>V6.2.2</t>
  </si>
  <si>
    <t>Verify that users can change their password.</t>
  </si>
  <si>
    <t>No password change endpoint or functionality exists in the API specifications or source code.</t>
  </si>
  <si>
    <t>05_API_Specifications.md</t>
  </si>
  <si>
    <t>V6.2.3</t>
  </si>
  <si>
    <t>Verify that password change functionality requires the user's current and new password.</t>
  </si>
  <si>
    <t>Password change functionality is not implemented.</t>
  </si>
  <si>
    <t>-</t>
  </si>
  <si>
    <t>V6.2.4</t>
  </si>
  <si>
    <t>Verify that passwords submitted during account registration or password change are checked against an available set of, at least, the top 3000 passwords which match the application's password policy, e.g. minimum length.</t>
  </si>
  <si>
    <t>Common/breached password checking (top 100000) is implemented.</t>
  </si>
  <si>
    <t>AuthService.java, ForbiddenPasswordWords.java, forbidden-passwords.txt</t>
  </si>
  <si>
    <t>V6.2.5</t>
  </si>
  <si>
    <t>Verify that passwords of any composition can be used, without rules limiting the type of characters permitted. There must be no requirement for a minimum number of upper or lower case characters, numbers, or special characters.</t>
  </si>
  <si>
    <t>04_SecurityDesign.md explicitly mandates composition rules (uppercase, lowercase, digits, special chars), which violates this requirement. The code does not enforce them, but the documented policy is non-compliant.</t>
  </si>
  <si>
    <t>V6.2.6</t>
  </si>
  <si>
    <t>Verify that password input fields use type=password to mask the entry. Applications may allow the user to temporarily view the entire masked password, or the last typed character of the password.</t>
  </si>
  <si>
    <t>Frontend implementation was not provided in the uploaded project files.</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</si>
  <si>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</si>
  <si>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</si>
  <si>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</si>
  <si>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</si>
  <si>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AuthService.login() passes the submitted password directly to passwordEncoder.matches() without truncation, case transformation, or other modification.</t>
  </si>
  <si>
    <t>V6.2.9</t>
  </si>
  <si>
    <t>Verify that passwords of at least 64 characters are permitted.</t>
  </si>
  <si>
    <t>No maximum password length is enforced in the code. BCryptPasswordEncoder supports passwords up to 72 bytes, so 64-character passwords are permitted.</t>
  </si>
  <si>
    <t>V6.2.10</t>
  </si>
  <si>
    <t>Verify that a user's password stays valid until it is discovered to be compromised or the user rotates it. The application must not require periodic credential rotation.</t>
  </si>
  <si>
    <t>No password expiration or periodic rotation policy is enforced in the application.</t>
  </si>
  <si>
    <t>V6.2.11</t>
  </si>
  <si>
    <t>Verify that the documented list of context specific words is used to prevent easy to guess passwords being created.</t>
  </si>
  <si>
    <t>No context-specific word list or dictionary check exists.</t>
  </si>
  <si>
    <t>V6.2.12</t>
  </si>
  <si>
    <t>Verify that passwords submitted during account registration or password changes are checked against a set of breached passwords.</t>
  </si>
  <si>
    <t>No breached password detection (e.g., HaveIBeenPwned API or local hash database) is implemented.</t>
  </si>
  <si>
    <t>V6.3</t>
  </si>
  <si>
    <t>General Authentication Security</t>
  </si>
  <si>
    <t>V6.3.1</t>
  </si>
  <si>
    <t>Verify that controls to prevent attacks such as credential stuffing and password brute force are implemented according to the application's security documentation.</t>
  </si>
  <si>
    <t>Rate limiting and lockout are documented but no implementation exists in AuthController.java, SecurityConfig.java, or any Spring Security filter/interceptor.</t>
  </si>
  <si>
    <t>SecurityConfig.java, AuthController.java</t>
  </si>
  <si>
    <t>V6.3.2</t>
  </si>
  <si>
    <t>Verify that default user accounts (e.g., "root", "admin", or "sa") are not present in the application or are disabled.</t>
  </si>
  <si>
    <t>DataBootstrap.java</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</si>
  <si>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</si>
  <si>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</si>
  <si>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Only single-factor JWT authentication exists. No MFA or combination of single-factor mechanisms is implemented.</t>
  </si>
  <si>
    <t>V6.3.4</t>
  </si>
  <si>
    <t>Verify that, if the application includes multiple authentication pathways, there are no undocumented pathways and that security controls and authentication strength are enforced consistently.</t>
  </si>
  <si>
    <t>Only one authentication pathway (JWT Bearer) exists. It is consistently enforced across all endpoints in SecurityConfig.java.</t>
  </si>
  <si>
    <t>SecurityConfig.java</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</si>
  <si>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</si>
  <si>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</si>
  <si>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No notification system (email, SMS, or in-app) for suspicious login attempts exists.</t>
  </si>
  <si>
    <t>V6.3.6</t>
  </si>
  <si>
    <t>Verify that email is not used as either a single-factor or multi-factor authentication mechanism.</t>
  </si>
  <si>
    <t>Email is used only as a username/identifier, not as an authentication factor (no email OTP or magic links).</t>
  </si>
  <si>
    <t>V6.3.7</t>
  </si>
  <si>
    <t>Verify that users are notified after updates to authentication details, such as credential resets or modification of the username or email address.</t>
  </si>
  <si>
    <t>Application does not implement password reset, email change, or username modification flows. Authentication credentials are set at registration and cannot be updated. Requirement is not applicable to current scope.</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</si>
  <si>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</si>
  <si>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</si>
  <si>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</si>
  <si>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</si>
  <si>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</si>
  <si>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</si>
  <si>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DataBootstrap.java seeds hardcoded weak passwords (password123) for default accounts. They do not expire and users are not forced to change them.</t>
  </si>
  <si>
    <t>V6.4.2</t>
  </si>
  <si>
    <t>Verify that password hints or knowledge-based authentication (so-called "secret questions") are not present.</t>
  </si>
  <si>
    <t>No password hints or knowledge-based authentication functionality exists in the codebase or documentation.</t>
  </si>
  <si>
    <t>V6.4.3</t>
  </si>
  <si>
    <t>Verify that a secure process for resetting a forgotten password is implemented, that does not bypass any enabled multi-factor authentication mechanisms.</t>
  </si>
  <si>
    <t>No "forgot password" or password reset endpoint exists in the API or code.</t>
  </si>
  <si>
    <t>V6.4.4</t>
  </si>
  <si>
    <t>Verify that if a multi-factor authentication factor is lost, evidence of identity proofing is performed at the same level as during enrollment.</t>
  </si>
  <si>
    <t xml:space="preserve">No MFA is implemented; </t>
  </si>
  <si>
    <t>V6.4.5</t>
  </si>
  <si>
    <t>Verify that renewal instructions for authentication mechanisms which expire are sent with enough time to be carried out before the old authentication mechanism expires, configuring automated reminders if necessary.</t>
  </si>
  <si>
    <t>No user-managed expiring authentication factors (e.g., hardware tokens, certificates) are implemented.</t>
  </si>
  <si>
    <t>V6.4.6</t>
  </si>
  <si>
    <t>Verify that administrative users can initiate the password reset process for the user, but that this does not allow them to change or choose the user's password. This prevents a situation where they know the user's password.</t>
  </si>
  <si>
    <t>Application does not implement a password reset flow. Administrators cannot reset user passwords as this functionality is outside the current project scope. Requirement is not applicable.</t>
  </si>
  <si>
    <t>V6.5</t>
  </si>
  <si>
    <t>General Multi-factor authentication requirements</t>
  </si>
  <si>
    <t>V6.5.1</t>
  </si>
  <si>
    <t>Verify that lookup secrets, out-of-band authentication requests or codes, and time-based one-time passwords (TOTPs) are only successfully usable once.</t>
  </si>
  <si>
    <t>No lookup secrets, OOB codes, or TOTP are implemented.</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</si>
  <si>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</si>
  <si>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</si>
  <si>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No lookup secrets are implemented.</t>
  </si>
  <si>
    <t>V6.5.3</t>
  </si>
  <si>
    <t>Verify that lookup secrets, out-of-band authentication code, and time-based one-time password seeds, are generated using a Cryptographically Secure Pseudorandom Number Generator (CSPRNG) to avoid predictable values.</t>
  </si>
  <si>
    <t>No lookup secrets, OOB codes, or TOTP seeds are implemented.</t>
  </si>
  <si>
    <t>V6.5.4</t>
  </si>
  <si>
    <t>Verify that lookup secrets and out-of-band authentication codes have a minimum of 20 bits of entropy (typically 4 random alphanumeric characters or 6 random digits is sufficient).</t>
  </si>
  <si>
    <t>No lookup secrets or OOB codes are implemented.</t>
  </si>
  <si>
    <t>V6.5.5</t>
  </si>
  <si>
    <t>Verify that out-of-band authentication requests, codes, or tokens, as well as time-based one-time passwords (TOTPs) have a defined lifetime. Out of band requests must have a maximum lifetime of 10 minutes and for TOTP a maximum lifetime of 30 seconds.</t>
  </si>
  <si>
    <t>No OOB authentication or TOTP is implemented.</t>
  </si>
  <si>
    <t>V6.5.6</t>
  </si>
  <si>
    <t>Verify that any authentication factor (including physical devices) can be revoked in case of theft or other loss.</t>
  </si>
  <si>
    <t>No MFA authentication factors are implemented.</t>
  </si>
  <si>
    <t>V6.5.7</t>
  </si>
  <si>
    <t>Verify that biometric authentication mechanisms are only used as secondary factors together with either something you have or something you know.</t>
  </si>
  <si>
    <t>No biometric authentication is implemented.</t>
  </si>
  <si>
    <t>V6.5.8</t>
  </si>
  <si>
    <t>Verify that time-based one-time passwords (TOTPs) are checked based on a time source from a trusted service and not from an untrusted or client provided time.</t>
  </si>
  <si>
    <t>No TOTP is implemented.</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</si>
  <si>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</si>
  <si>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</si>
  <si>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</si>
  <si>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</si>
  <si>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No PSTN, SMS, or phone-based OTP is implemented.</t>
  </si>
  <si>
    <t>V6.6.2</t>
  </si>
  <si>
    <t>Verify that out-of-band authentication requests, codes, or tokens are bound to the original authentication request for which they were generated and are not usable for a previous or subsequent one.</t>
  </si>
  <si>
    <t>No out-of-band authentication is implemented.</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</si>
  <si>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</si>
  <si>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</si>
  <si>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</si>
  <si>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</si>
  <si>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No push notification MFA is implemented.</t>
  </si>
  <si>
    <t>V6.7</t>
  </si>
  <si>
    <t>Cryptographic authentication mechanism</t>
  </si>
  <si>
    <t>V6.7.1</t>
  </si>
  <si>
    <t>Verify that the certificates used to verify cryptographic authentication assertions are stored in a way protects them from modification.</t>
  </si>
  <si>
    <t>The application uses HS256 symmetric key signing (JwtUtil.java), not certificate-based asymmetric cryptography.</t>
  </si>
  <si>
    <t>V6.7.2</t>
  </si>
  <si>
    <t>Verify that the challenge nonce is at least 64 bits in length, and statistically unique or unique over the lifetime of the cryptographic device.</t>
  </si>
  <si>
    <t>No challenge-response or nonce-based authentication mechanism is implemented.</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</si>
  <si>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</si>
  <si>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</si>
  <si>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</si>
  <si>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</si>
  <si>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Only a local identity provider is supported. No multiple IdPs exist that could enable spoofing.</t>
  </si>
  <si>
    <t>V6.8.2</t>
  </si>
  <si>
    <t>Verify that the presence and integrity of digital signatures on authentication assertions (for example on JWTs or SAML assertions) are always validated, rejecting any assertions that are unsigned or have invalid signatures.</t>
  </si>
  <si>
    <t>JWT signatures are validated on every request in JwtAuthFilter.java via JwtUtil.validate(). Unsigned or tampered tokens are rejected with 401 Unauthorized.</t>
  </si>
  <si>
    <t>JwtAuthFilter.java, JwtUtil.java</t>
  </si>
  <si>
    <t>V6.8.3</t>
  </si>
  <si>
    <t>Verify that SAML assertions are uniquely processed and used only once within the validity period to prevent replay attacks.</t>
  </si>
  <si>
    <t>No SAML integration is implemented.</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</si>
  <si>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</si>
  <si>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</si>
  <si>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No external IdP integration is implemented.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</si>
  <si>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</si>
  <si>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</si>
  <si>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</si>
  <si>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</si>
  <si>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Access and refresh tokens both have certain expiration period specified. Expired access token disables the user from performing any operations, while expired refresh token forces the user to re-authenticate with user's credentials.</t>
  </si>
  <si>
    <t>AuthController.java, AuthService.java</t>
  </si>
  <si>
    <t>V7.1.2</t>
  </si>
  <si>
    <t>Verify that the documentation defines how many concurrent (parallel) sessions are allowed for one account as well as the intended behaviors and actions to be taken when the maximum number of active sessions is reached.</t>
  </si>
  <si>
    <t>No intention to limit concurrent sessions</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</si>
  <si>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</si>
  <si>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</si>
  <si>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No SSO systems used</t>
  </si>
  <si>
    <t>V7.2</t>
  </si>
  <si>
    <t>Fundamental Session Management Security</t>
  </si>
  <si>
    <t>V7.2.1</t>
  </si>
  <si>
    <t>Verify that the application performs all session token verification using a trusted, backend service.</t>
  </si>
  <si>
    <t>All token verification happens in the same backend service.</t>
  </si>
  <si>
    <t>JwtAuthFilter.java</t>
  </si>
  <si>
    <t>V7.2.2</t>
  </si>
  <si>
    <t>Verify that the application uses either self-contained or reference tokens that are dynamically generated for session management, i.e. not using static API secrets and keys.</t>
  </si>
  <si>
    <t>Access and refresh tokens are used.</t>
  </si>
  <si>
    <t>V7.2.3</t>
  </si>
  <si>
    <t>Verify that if reference tokens are used to represent user sessions, they are unique and generated using a cryptographically secure pseudo-random number generator (CSPRNG) and possess at least 128 bits of entropy.</t>
  </si>
  <si>
    <t>JWTs are used</t>
  </si>
  <si>
    <t>V7.2.4</t>
  </si>
  <si>
    <t>Verify that the application generates a new session token on user authentication, including re-authentication, and terminates the current session token.</t>
  </si>
  <si>
    <t>New access and refresh tokens are generated on sign-in/sign-up. New access token is generated when requested if valid refresh token is provided.</t>
  </si>
  <si>
    <t>AuthController.java</t>
  </si>
  <si>
    <t>V7.3</t>
  </si>
  <si>
    <t>Session Timeout</t>
  </si>
  <si>
    <t>V7.3.1</t>
  </si>
  <si>
    <t>Verify that there is an inactivity timeout such that re-authentication is enforced according to risk analysis and documented security decisions.</t>
  </si>
  <si>
    <t>Access token has a short-lived expiration period</t>
  </si>
  <si>
    <t>V7.3.2</t>
  </si>
  <si>
    <t>Verify that there is an absolute maximum session lifetime such that re-authentication is enforced according to risk analysis and documented security decisions.</t>
  </si>
  <si>
    <t>Refresh token has a specified expiration period.</t>
  </si>
  <si>
    <t>RefreshTokenService.java</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</si>
  <si>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</si>
  <si>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</si>
  <si>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</si>
  <si>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</si>
  <si>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</si>
  <si>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</si>
  <si>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</si>
  <si>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</si>
  <si>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</si>
  <si>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</si>
  <si>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No front-end.</t>
  </si>
  <si>
    <t>V7.4.5</t>
  </si>
  <si>
    <t>Verify that application administrators are able to terminate active sessions for an individual user or for all users.</t>
  </si>
  <si>
    <t>Administrators can terminate active sessions for an individual user via DELETE /api/admin/users/{id}/sessions or all users via DELETE /api/admin/users/sessions. Session revocation is enforced in JwtAuthFilter by checking TokenBlacklistService.isUserRevoked() on every request. Audit logged via AuditAction.SESSION_TERMINATE.</t>
  </si>
  <si>
    <t>src/main/java/com/desofs/user/UserController.java, src/main/java/com/desofs/user/UserService.java, src/main/java/com/desofs/security/TokenBlacklistService.java, src/main/java/com/desofs/config/JwtAuthFilter.java</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</si>
  <si>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</si>
  <si>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</si>
  <si>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</si>
  <si>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</si>
  <si>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</si>
  <si>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</si>
  <si>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</si>
  <si>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</si>
  <si>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</si>
  <si>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</si>
  <si>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</si>
  <si>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</si>
  <si>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</si>
  <si>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</si>
  <si>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Explicit API request with valid credentials is needed for a session to be created.</t>
  </si>
  <si>
    <t>V8.1</t>
  </si>
  <si>
    <t>Authorization Documentation</t>
  </si>
  <si>
    <t>V8.1.1</t>
  </si>
  <si>
    <t>Verify that authorization documentation defines rules for restricting function-level and data-specific access based on consumer permissions and resource attributes.</t>
  </si>
  <si>
    <t>Authorization rules are documented for roles, project membership, task assignee, comment author, and attachment uploader/member access</t>
  </si>
  <si>
    <t>01_Requirements.md, 04_SecurityDesign.md - Both describe who can take what action</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</si>
  <si>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</si>
  <si>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</si>
  <si>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Some field/action-specific rules exist, such as role update admin-only, task status/assignee rules, comment author edits, and attachment uploader deletes.</t>
  </si>
  <si>
    <t>01_Requirements.md - Describes how some fields are only modifiable by certain roles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</si>
  <si>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</si>
  <si>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</si>
  <si>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</si>
  <si>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</si>
  <si>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</si>
  <si>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</si>
  <si>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</si>
  <si>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</si>
  <si>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Role-level access is enforced and project-member status also allows certains actions to be performed</t>
  </si>
  <si>
    <t>Service classes for each entity</t>
  </si>
  <si>
    <t>V8.2.2</t>
  </si>
  <si>
    <t>Verify that the application ensures that data-specific access is restricted to consumers with explicit permissions to specific data items to mitigate insecure direct object reference (IDOR) and broken object level authorization (BOLA).</t>
  </si>
  <si>
    <t>Protected by role-level access or project membership status</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</si>
  <si>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</si>
  <si>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</si>
  <si>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</si>
  <si>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</si>
  <si>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</si>
  <si>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</si>
  <si>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</si>
  <si>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</si>
  <si>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All authorization is evaluated in the core backend logic</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</si>
  <si>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</si>
  <si>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</si>
  <si>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Short-lived access tokens are used to reflect role changes relatively quickly. Project membership status dependent actions are authorized against a read from the database</t>
  </si>
  <si>
    <t>JwtAuthFilter.java, AuthService.java</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</si>
  <si>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</si>
  <si>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</si>
  <si>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No such cross-service pattern is implemented</t>
  </si>
  <si>
    <t>V8.4</t>
  </si>
  <si>
    <t>Other Authorization Considerations</t>
  </si>
  <si>
    <t>V8.4.1</t>
  </si>
  <si>
    <t>Verify that multi-tenant applications use cross-tenant controls to ensure consumer operations will never affect tenants with which they do not have permissions to interact.</t>
  </si>
  <si>
    <t>Multi-tenancy not implemented</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</si>
  <si>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</si>
  <si>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</si>
  <si>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No dedicated admin interface present in the application. Admins/managers use the same endpoints, however, role-based access is enforced.</t>
  </si>
  <si>
    <t>V9.1</t>
  </si>
  <si>
    <t>Token source and integrity</t>
  </si>
  <si>
    <t>V9.1.1</t>
  </si>
  <si>
    <t>Verify that self-contained tokens are validated using their digital signature or MAC to protect against tampering before accepting the token's contents.</t>
  </si>
  <si>
    <t>Both access and refresh tokens JWTs are verified.</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</si>
  <si>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</si>
  <si>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</si>
  <si>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Only HMAC-SHA algorithm is allowed.</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</si>
  <si>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</si>
  <si>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</si>
  <si>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JWTs are validated with a preconfigured local HS256 secret via setSigningKey. No attacker-controlled JWT key source headers are used</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</si>
  <si>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</si>
  <si>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</si>
  <si>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</si>
  <si>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</si>
  <si>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Verified when validating the token.</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</si>
  <si>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</si>
  <si>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</si>
  <si>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Only access token are used to authorize operations. Only refresh token is used to obtain new access token.</t>
  </si>
  <si>
    <t>V9.2.3</t>
  </si>
  <si>
    <t>Verify that the service only accepts tokens which are intended for use with that service (audience). For JWTs, this can be achieved by validating the 'aud' claim against an allowlist defined in the service.</t>
  </si>
  <si>
    <t>Only one service exists - single access token is used throughout the entire app for operations authorization.</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</si>
  <si>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</si>
  <si>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</si>
  <si>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Single audience used throughout the entire app.</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</si>
  <si>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</si>
  <si>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</si>
  <si>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</si>
  <si>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</si>
  <si>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</si>
  <si>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</si>
  <si>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</si>
  <si>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</si>
  <si>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</si>
  <si>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</si>
  <si>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</si>
  <si>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</si>
  <si>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</si>
  <si>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</si>
  <si>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</si>
  <si>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</si>
  <si>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</si>
  <si>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</si>
  <si>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</si>
  <si>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</si>
  <si>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</si>
  <si>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</si>
  <si>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</si>
  <si>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</si>
  <si>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</si>
  <si>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</si>
  <si>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</si>
  <si>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</si>
  <si>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</si>
  <si>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</si>
  <si>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</si>
  <si>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</si>
  <si>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</si>
  <si>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</si>
  <si>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</si>
  <si>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</si>
  <si>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</si>
  <si>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</si>
  <si>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</si>
  <si>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</si>
  <si>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</si>
  <si>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</si>
  <si>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</si>
  <si>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</si>
  <si>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</si>
  <si>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</si>
  <si>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</si>
  <si>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</si>
  <si>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</si>
  <si>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</si>
  <si>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</si>
  <si>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</si>
  <si>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</si>
  <si>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</si>
  <si>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</si>
  <si>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</si>
  <si>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</si>
  <si>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</si>
  <si>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</si>
  <si>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</si>
  <si>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</si>
  <si>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</si>
  <si>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</si>
  <si>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</si>
  <si>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</si>
  <si>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</si>
  <si>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</si>
  <si>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</si>
  <si>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</si>
  <si>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</si>
  <si>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</si>
  <si>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</si>
  <si>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</si>
  <si>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</si>
  <si>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</si>
  <si>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</si>
  <si>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</si>
  <si>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</si>
  <si>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</si>
  <si>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</si>
  <si>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</si>
  <si>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</si>
  <si>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</si>
  <si>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</si>
  <si>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</si>
  <si>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</si>
  <si>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</si>
  <si>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</si>
  <si>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</si>
  <si>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</si>
  <si>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</si>
  <si>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</si>
  <si>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application.yml, JwtUtil.java, SecurityConfig.java</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</si>
  <si>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</si>
  <si>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</si>
  <si>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</si>
  <si>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</si>
  <si>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</si>
  <si>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</si>
  <si>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</si>
  <si>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</si>
  <si>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 xml:space="preserve">JWT signing/verification (HMAC-SHA256), Spring Security BCryptPasswordEncoder, </t>
  </si>
  <si>
    <t>io.jsonwebtoken, SecurityConfig.java, JwtUtil.java</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</si>
  <si>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</si>
  <si>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</si>
  <si>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</si>
  <si>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</si>
  <si>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</si>
  <si>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</si>
  <si>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Password hashing and comparison use BCryptPasswordEncoder.matches() which internally uses constant-time comparison. Refresh tokens are generated via SecureRandom (64 bytes, URL-safe Base64) and compared via database lookup. JWT validation uses HMAC-SHA256 via JJWT library.</t>
  </si>
  <si>
    <t>src/main/java/com/desofs/auth/AuthService.java, src/main/java/com/desofs/auth/RefreshTokenService.java</t>
  </si>
  <si>
    <t>V11.2.5</t>
  </si>
  <si>
    <t>Verify that all cryptographic modules fail securely, and errors are handled in a way that does not enable vulnerabilities, such as Padding Oracle attacks.</t>
  </si>
  <si>
    <t>JwtAuthFilter, AuthController logout, No Padding Oracle risk</t>
  </si>
  <si>
    <t>V11.3</t>
  </si>
  <si>
    <t>Encryption Algorithms</t>
  </si>
  <si>
    <t>V11.3.1</t>
  </si>
  <si>
    <t>Verify that insecure block modes (e.g., ECB) and weak padding schemes (e.g., PKCS#1 v1.5) are not used.</t>
  </si>
  <si>
    <t>The application does not use any block cipher encryption at all in the current codebase</t>
  </si>
  <si>
    <t>V11.3.2</t>
  </si>
  <si>
    <t>Verify that only approved ciphers and modes such as AES with GCM are used.</t>
  </si>
  <si>
    <t>04_SecurityDesign.md section 3.2 — Phase 2 planned cipher suites.</t>
  </si>
  <si>
    <t>V11.3.3</t>
  </si>
  <si>
    <t>Verify that encrypted data is protected against unauthorized modification preferably by using an approved authenticated encryption method or by combining an approved encryption method with an approved MAC algorithm.</t>
  </si>
  <si>
    <t>JWT tokens: HS256 provides integrity; AES-GCM (AEAD) is planned for Phase 2 TLS but not yet enforced in code</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</si>
  <si>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</si>
  <si>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</si>
  <si>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</si>
  <si>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</si>
  <si>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</si>
  <si>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</si>
  <si>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</si>
  <si>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</si>
  <si>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JWT signing, Password hashing, Refresh token generation</t>
  </si>
  <si>
    <t>JwtUtil.java, SecurityConfig.java, RefreshTokenService.java</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</si>
  <si>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</si>
  <si>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</si>
  <si>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</si>
  <si>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</si>
  <si>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JWT signatures use HMAC-SHA256</t>
  </si>
  <si>
    <t>JwtUtil.java — SignatureAlgorithm.HS256.</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</si>
  <si>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</si>
  <si>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</si>
  <si>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 xml:space="preserve">BCrypt is used for password storage but JWT signing key is derived directly from a raw UTF-8 string </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</si>
  <si>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</si>
  <si>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</si>
  <si>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</si>
  <si>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</si>
  <si>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Refresh tokens are generated using java.security.SecureRandom</t>
  </si>
  <si>
    <t>V11.5.2</t>
  </si>
  <si>
    <t>Verify that the random number generation mechanism in use is designed to work securely, even under heavy demand.</t>
  </si>
  <si>
    <t>java.security.SecureRandom in Java is thread-safe and backed by the OS entropy source</t>
  </si>
  <si>
    <t>RefreshTokenService.java line 14 — private final SecureRandom secureRandom = new SecureRandom() (singleton instance)</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</si>
  <si>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</si>
  <si>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</si>
  <si>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</si>
  <si>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</si>
  <si>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Only HMAC-SHA256 (via JJWT) and BCrypt (via Spring Security) are used</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</si>
  <si>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</si>
  <si>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</si>
  <si>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</si>
  <si>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</si>
  <si>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</si>
  <si>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</si>
  <si>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</si>
  <si>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</si>
  <si>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Passwords are passed directly to BCryptPasswordEncoder.encode() and matches() without intermediate storage, minimizing exposure during processing. No sensitive data is logged (SR-10). Java String immutability prevents guaranteed memory clearing after use, however this is a known platform-level limitation of the Java/Spring Security stack and not addressable at the application layer without abandoning the standard security API.</t>
  </si>
  <si>
    <t>src/main/java/com/desofs/auth/AuthService.java</t>
  </si>
  <si>
    <t>V12.1</t>
  </si>
  <si>
    <t>General TLS Security Guidance</t>
  </si>
  <si>
    <t>V12.1.1</t>
  </si>
  <si>
    <t>Verify that only the latest recommended versions of the TLS protocol are enabled, such as TLS 1.2 and TLS 1.3. The latest version of the TLS protocol must be the preferred option.</t>
  </si>
  <si>
    <t>Planned for next sprint</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</si>
  <si>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</si>
  <si>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</si>
  <si>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</si>
  <si>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</si>
  <si>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</si>
  <si>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</si>
  <si>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</si>
  <si>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</si>
  <si>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</si>
  <si>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</si>
  <si>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</si>
  <si>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</si>
  <si>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TLS is configured via a dedicated production profile (application-prod.yml) using PKCS12 keystore on port 8443. Development runs on HTTP locally only. Production deployment enforces HTTPS exclusively with no HTTP fallback.</t>
  </si>
  <si>
    <t>src/main/resources/application-prod.yml</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</si>
  <si>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</si>
  <si>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</si>
  <si>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</si>
  <si>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</si>
  <si>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</si>
  <si>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</si>
  <si>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</si>
  <si>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</si>
  <si>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</si>
  <si>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</si>
  <si>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The application is a monolith with no internal HTTP communication between separate services. All data access is performed via JPA/JDBC directly to the database, which does not use HTTP. Requirement is not applicable to the current architecture.</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</si>
  <si>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</si>
  <si>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</si>
  <si>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</si>
  <si>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</si>
  <si>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The only internal communication is the app-to-PostgreSQL JDBC connection, which uses username/password credentials</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</si>
  <si>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</si>
  <si>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</si>
  <si>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</si>
  <si>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</si>
  <si>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The architecture is documented in 03_Architecture.md and DFD diagrams. External dependencies are: PostgreSQL (documented), filesystem storage (documented)</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</si>
  <si>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</si>
  <si>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</si>
  <si>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</si>
  <si>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</si>
  <si>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</si>
  <si>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</si>
  <si>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</si>
  <si>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</si>
  <si>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</si>
  <si>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</si>
  <si>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</si>
  <si>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</si>
  <si>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</si>
  <si>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</si>
  <si>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</si>
  <si>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</si>
  <si>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</si>
  <si>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</si>
  <si>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</si>
  <si>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</si>
  <si>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</si>
  <si>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</si>
  <si>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</si>
  <si>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</si>
  <si>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</si>
  <si>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</si>
  <si>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</si>
  <si>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</si>
  <si>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</si>
  <si>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</si>
  <si>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</si>
  <si>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</si>
  <si>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</si>
  <si>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</si>
  <si>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</si>
  <si>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</si>
  <si>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</si>
  <si>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</si>
  <si>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</si>
  <si>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</si>
  <si>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</si>
  <si>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</si>
  <si>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</si>
  <si>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</si>
  <si>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</si>
  <si>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</si>
  <si>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</si>
  <si>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</si>
  <si>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</si>
  <si>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</si>
  <si>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</si>
  <si>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</si>
  <si>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</si>
  <si>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</si>
  <si>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</si>
  <si>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</si>
  <si>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</si>
  <si>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</si>
  <si>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</si>
  <si>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</si>
  <si>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</si>
  <si>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</si>
  <si>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Sensitive data controls implemented by classification: passwords hashed with BCrypt and never logged; JWT tokens never persisted in audit logs; session tokens blacklisted by value without exposure in logs. Audit events capture actor, action, resource, success flag, and timestamp for all sensitive operations via AuditService. Exception messages passed to audit details field are restricted to business logic errors ("Invalid credentials", "Project not found", "Forbidden") — no stack traces, queries, credentials, or tokens are recorded. Access to audit data is controlled via Spring Security RBAC.</t>
  </si>
  <si>
    <t>src/main/java/com/desofs/audit/AuditService.java, src/main/java/com/desofs/audit/AuditEvent.java, src/main/java/com/desofs/auth/AuthController.java</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</si>
  <si>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</si>
  <si>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</si>
  <si>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</si>
  <si>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</si>
  <si>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</si>
  <si>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</si>
  <si>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</si>
  <si>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</si>
  <si>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</si>
  <si>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</si>
  <si>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</si>
  <si>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</si>
  <si>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</si>
  <si>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</si>
  <si>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</si>
  <si>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</si>
  <si>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</si>
  <si>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</si>
  <si>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</si>
  <si>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</si>
  <si>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</si>
  <si>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</si>
  <si>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</si>
  <si>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</si>
  <si>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</si>
  <si>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</si>
  <si>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Third-party dependencies are minimal and well-maintained: spring-boot-starter-* (Spring ecosystem), jjwt 0.11.5 (JWT), postgresql (JDBC driver), h2 (test scope only). OWASP Dependency-Check plugin (dependency-check-maven 12.1.1) and SpotBugs (spotbugs-maven-plugin 4.8.6.0) are configured in the build to automatically identify vulnerable and risky components. Test dependencies (spring-boot-starter-test, spring-security-test, h2) are scoped to test and excluded from production builds.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</si>
  <si>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</si>
  <si>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</si>
  <si>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</si>
  <si>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</si>
  <si>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</si>
  <si>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</si>
  <si>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</si>
  <si>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</si>
  <si>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</si>
  <si>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</si>
  <si>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Test dependencies (spring-boot-starter-test, spring-security-test, h2) are declared with scope=test and are not included in the production JAR. No Spring Actuator, debug endpoints, or development tools are present in the dependencies. No sample or demo code exists in the production source tree. Production profile (application-prod.yml) is separate from the default development configuration.</t>
  </si>
  <si>
    <t>pom.xml, src/main/resources/application.yml, src/main/resources/application-prod.yml</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</si>
  <si>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</si>
  <si>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</si>
  <si>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</si>
  <si>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</si>
  <si>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</si>
  <si>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</si>
  <si>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</si>
  <si>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</si>
  <si>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</si>
  <si>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</si>
  <si>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</si>
  <si>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</si>
  <si>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Mass assignment is prevented through explicit DTOs for all write operations. Task operations use CreateTaskRequest, UpdateTaskRequest, ChangeTaskStatusRequest, and AssignTaskRequest restricting fields per action. Project operations use CreateProjectRequest and UpdateProjectRequest restricting input to name and description. Comment operations use CreateCommentRequest and UpdateCommentRequest restricting input to content only. Attachment upload accepts only a MultipartFile via @RequestParam("file") — no JSON body is accepted, preventing mass assignment entirely. In all services, fields are explicitly mapped one by one and request objects are never passed directly to the repository.</t>
  </si>
  <si>
    <t>src/main/java/com/desofs/task/dto/, src/main/java/com/desofs/project/dto/, src/main/java/com/desofs/comment/dto/, src/main/java/com/desofs/attachment/AttachmentController.java</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</si>
  <si>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</si>
  <si>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</si>
  <si>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</si>
  <si>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</si>
  <si>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</si>
  <si>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</si>
  <si>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</si>
  <si>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</si>
  <si>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</si>
  <si>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</si>
  <si>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</si>
  <si>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</si>
  <si>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</si>
  <si>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</si>
  <si>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State checks and dependent actions are performed atomically within @Transactional boundaries. In AttachmentService.delete(), existence check (getAttachment()), permission check (requireCanDelete()), and file deletion are executed in a single transaction. In TaskService.changeTaskStatus(), status transition validation (canTransitionTo()) and persistence are atomic. In AttachmentService.store(), rate limit check (enforceUploadRateLimit()) and file persistence are within the same transaction, preventing TOCTOU race conditions.</t>
  </si>
  <si>
    <t>src/main/java/com/desofs/attachment/AttachmentService.java, src/main/java/com/desofs/task/TaskService.java</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</si>
  <si>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</si>
  <si>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</si>
  <si>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</si>
  <si>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</si>
  <si>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</si>
  <si>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</si>
  <si>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</si>
  <si>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</si>
  <si>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</si>
  <si>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</si>
  <si>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</si>
  <si>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</si>
  <si>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Each audit event captures: occurredAt (when), resourceType + resourceId (where), actor (who), action (what), success flag, and details. All security-relevant operations are logged: authentication (register, login, lockout, logout, refresh), project operations (create, read, update, delete, member add/remove), task operations via TaskService, attachment operations (upload, download, delete), role changes, and session termination. Events are persisted to the database via AuditEventRepository for durable storage and timeline investigation.</t>
  </si>
  <si>
    <t>src/main/java/com/desofs/audit/AuditEvent.java, src/main/java/com/desofs/audit/AuditService.java, src/main/java/com/desofs/audit/AuditAction.java</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</si>
  <si>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</si>
  <si>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</si>
  <si>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</si>
  <si>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</si>
  <si>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</si>
  <si>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</si>
  <si>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</si>
  <si>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</si>
  <si>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Sensitive data is never logged: passwords are hashed with BCrypt before persistence and never appear in audit entries; JWT tokens are not recorded in audit logs; refresh tokens are not logged. Authentication failure audit entries record only the actor email and the action type — exception messages are limited to "Invalid credentials" and "Account temporarily locked", containing no credential data. Attachment filenames stored in audit details are original user-provided names with no sensitive content. No payment data exists in the application scope.</t>
  </si>
  <si>
    <t>src/main/java/com/desofs/audit/AuditService.java, src/main/java/com/desofs/auth/AuthController.java, src/main/java/com/desofs/auth/AuthService.java</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</si>
  <si>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</si>
  <si>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</si>
  <si>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</si>
  <si>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</si>
  <si>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</si>
  <si>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</si>
  <si>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</si>
  <si>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</si>
  <si>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</si>
  <si>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</si>
  <si>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A global @RestControllerAdvice (GlobalExceptionHandler) catches all unhandled exceptions, logs them internally via SLF4J with full stack trace, and records a structured audit event with AuditAction.UNEXPECTED_ERROR including the exception class and message. Spring Boot default error response is configured to suppress message, stack trace, exception class, and binding errors via server.error.* properties.</t>
  </si>
  <si>
    <t>src/main/java/com/desofs/config/GlobalExceptionHandler.java, src/main/resources/application.yml</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</si>
  <si>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</si>
  <si>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</si>
  <si>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</si>
  <si>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</si>
  <si>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</si>
  <si>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</si>
  <si>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</si>
  <si>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</si>
  <si>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</si>
  <si>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</si>
  <si>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</si>
  <si>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</si>
  <si>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All unexpected errors return a generic {"error": "An unexpected error occurred"} response via GlobalExceptionHandler, preventing exposure of stack traces, queries, secret keys, or tokens. Confirmed via manual testing — /actuator/health and non-existent endpoints return only the generic message. Spring Boot default error page is disabled via server.error.include-message=never, include-stacktrace=never, include-exception=false. Business logic exceptions return controlled messages defined in the service layer.</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</si>
  <si>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</si>
  <si>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</si>
  <si>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</si>
  <si>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</si>
  <si>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</si>
  <si>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</si>
  <si>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</si>
  <si>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</si>
  <si>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</si>
  <si>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</si>
  <si>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</si>
  <si>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</si>
  <si>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</si>
  <si>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</si>
  <si>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</si>
  <si>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</si>
  <si>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</si>
  <si>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</si>
  <si>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</si>
  <si>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</si>
  <si>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</si>
  <si>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</si>
  <si>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</si>
  <si>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</si>
  <si>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</si>
  <si>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</si>
  <si>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</si>
  <si>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</si>
  <si>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</si>
  <si>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</si>
  <si>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</si>
  <si>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</si>
  <si>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</si>
  <si>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</si>
  <si>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</si>
  <si>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</si>
  <si>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Upload rate limiting implemented (10/hour per user via enforceUploadRateLimit()). Login endpoint has employs rate limiting via account lock-out for 15 minutes after 5 unsuccessful login attemps</t>
  </si>
  <si>
    <t>Byte size limit (25MB) and pixel dimension validation.</t>
  </si>
  <si>
    <t>Limit of atleast 8 characters.</t>
  </si>
  <si>
    <t>DataBootstrap.java creates hardcoded default accounts (admin@example.com, manager@example.com, user@example.com) with weak passwords on every non-test startup for development purposes. Data bootstrap does not run in production.</t>
  </si>
  <si>
    <t>AuthService.login() returns identical error messages.</t>
  </si>
  <si>
    <t>Access and refresh tokens both blacklisted on logout</t>
  </si>
  <si>
    <t>Such actions are not supported.</t>
  </si>
  <si>
    <t>JWT secret (HS256), BCrypt (password hashing), TLS</t>
  </si>
  <si>
    <t>No symmetric encryption is currently implemented in the codebase. For data in transit (TLS), AES-GCM and ChaCha20-Poly1305</t>
  </si>
  <si>
    <t>If deployed, a 3rd party database provided would use a publicly trusted CA.</t>
  </si>
  <si>
    <t>Not implemented</t>
  </si>
  <si>
    <t>If the DB connection fails, an error is returned.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</si>
</sst>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charset val="1"/>
    </font>
    <font>
      <b/>
      <sz val="16"/>
      <color rgb="FFFFFFFF"/>
      <name val="Cambria"/>
      <family val="1"/>
      <charset val="1"/>
    </font>
    <font>
      <i/>
      <sz val="10"/>
      <color rgb="FF595959"/>
      <name val="Cambria"/>
      <family val="1"/>
      <charset val="1"/>
    </font>
    <font>
      <b/>
      <sz val="10"/>
      <name val="Cambria"/>
      <family val="1"/>
      <charset val="1"/>
    </font>
    <font>
      <b/>
      <sz val="9"/>
      <name val="Cambria"/>
      <family val="1"/>
      <charset val="1"/>
    </font>
    <font>
      <b/>
      <sz val="9"/>
      <color rgb="FFFFFFFF"/>
      <name val="Cambria"/>
      <family val="1"/>
      <charset val="1"/>
    </font>
    <font>
      <sz val="10"/>
      <name val="Cambria"/>
      <family val="1"/>
      <charset val="1"/>
    </font>
    <font>
      <b/>
      <sz val="11"/>
      <color rgb="FFFFFFFF"/>
      <name val="Cambria"/>
      <family val="1"/>
      <charset val="1"/>
    </font>
    <font>
      <b/>
      <sz val="10"/>
      <color rgb="FFFFFFFF"/>
      <name val="Cambria"/>
      <family val="1"/>
      <charset val="1"/>
    </font>
    <font>
      <b/>
      <sz val="10"/>
      <color rgb="FF1F3864"/>
      <name val="Cambria"/>
      <family val="1"/>
      <charset val="1"/>
    </font>
    <font>
      <sz val="11"/>
      <color rgb="FF000000"/>
      <name val="Calibri"/>
      <family val="2"/>
      <charset val="1"/>
    </font>
    <font>
      <b/>
      <sz val="11"/>
      <name val="Cambria"/>
      <charset val="1"/>
    </font>
    <font>
      <sz val="11"/>
      <name val="Calibri"/>
      <family val="2"/>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2">
    <xf numFmtId="0" fontId="0" fillId="0" borderId="0" xfId="0"/>
    <xf numFmtId="0" fontId="3" fillId="0" borderId="0" xfId="0" applyFont="1"/>
    <xf numFmtId="0" fontId="2" fillId="0" borderId="0" xfId="0" applyFont="1" applyAlignment="1">
      <alignment horizontal="center" vertical="center"/>
    </xf>
    <xf numFmtId="0" fontId="1" fillId="2" borderId="0" xfId="0" applyFont="1" applyFill="1" applyAlignment="1">
      <alignment horizontal="center" vertical="center"/>
    </xf>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10" fillId="3" borderId="1" xfId="0" applyFont="1" applyFill="1" applyBorder="1"/>
    <xf numFmtId="0" fontId="10" fillId="3" borderId="1" xfId="0" applyFont="1" applyFill="1" applyBorder="1" applyAlignment="1">
      <alignment horizontal="center" vertical="top"/>
    </xf>
    <xf numFmtId="0" fontId="10" fillId="3" borderId="1" xfId="0" applyFont="1" applyFill="1" applyBorder="1" applyAlignment="1">
      <alignment horizontal="left" vertical="top" wrapText="1"/>
    </xf>
    <xf numFmtId="0" fontId="3" fillId="6" borderId="1" xfId="0" applyFont="1" applyFill="1" applyBorder="1" applyAlignment="1">
      <alignment horizontal="center" vertical="top"/>
    </xf>
    <xf numFmtId="0" fontId="10" fillId="7" borderId="1" xfId="0" applyFont="1" applyFill="1" applyBorder="1" applyAlignment="1">
      <alignment horizontal="center" vertical="top"/>
    </xf>
    <xf numFmtId="0" fontId="10" fillId="3" borderId="1" xfId="0" applyFont="1" applyFill="1" applyBorder="1" applyAlignment="1">
      <alignment horizontal="center" vertical="center" wrapText="1"/>
    </xf>
    <xf numFmtId="0" fontId="10" fillId="0" borderId="0" xfId="0" applyFont="1" applyAlignment="1">
      <alignment horizontal="center" vertical="center" wrapText="1"/>
    </xf>
    <xf numFmtId="0" fontId="10" fillId="4" borderId="1" xfId="0" applyFont="1" applyFill="1" applyBorder="1"/>
    <xf numFmtId="0" fontId="10" fillId="4" borderId="1" xfId="0" applyFont="1" applyFill="1" applyBorder="1" applyAlignment="1">
      <alignment horizontal="center" vertical="top"/>
    </xf>
    <xf numFmtId="0" fontId="10" fillId="4" borderId="1" xfId="0" applyFont="1" applyFill="1" applyBorder="1" applyAlignment="1">
      <alignment horizontal="left" vertical="top" wrapText="1"/>
    </xf>
    <xf numFmtId="0" fontId="10" fillId="4" borderId="1" xfId="0" applyFont="1" applyFill="1" applyBorder="1" applyAlignment="1">
      <alignment horizontal="center" vertical="center" wrapText="1"/>
    </xf>
    <xf numFmtId="0" fontId="9" fillId="5" borderId="1" xfId="0" applyFont="1" applyFill="1" applyBorder="1" applyAlignment="1">
      <alignment horizontal="center" vertical="center"/>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0" fillId="0" borderId="0" xfId="0" applyFont="1" applyAlignment="1">
      <alignment wrapText="1"/>
    </xf>
    <xf numFmtId="0" fontId="10" fillId="3" borderId="1" xfId="0" applyFont="1" applyFill="1" applyBorder="1" applyAlignment="1">
      <alignment horizontal="center" vertical="top" wrapText="1"/>
    </xf>
    <xf numFmtId="0" fontId="9" fillId="5" borderId="1" xfId="0" applyFont="1" applyFill="1" applyBorder="1" applyAlignment="1">
      <alignment horizontal="center" vertical="top"/>
    </xf>
    <xf numFmtId="0" fontId="11" fillId="2" borderId="1" xfId="0" applyFont="1" applyFill="1" applyBorder="1" applyAlignment="1">
      <alignment horizontal="center" vertical="center" wrapText="1"/>
    </xf>
    <xf numFmtId="0" fontId="11" fillId="5" borderId="1" xfId="0" applyFont="1" applyFill="1" applyBorder="1" applyAlignment="1">
      <alignment horizontal="left" vertical="center"/>
    </xf>
    <xf numFmtId="0" fontId="11" fillId="6" borderId="1" xfId="0" applyFont="1" applyFill="1" applyBorder="1" applyAlignment="1">
      <alignment horizontal="center" vertical="top"/>
    </xf>
    <xf numFmtId="0" fontId="11" fillId="8" borderId="1" xfId="0" applyFont="1" applyFill="1" applyBorder="1" applyAlignment="1">
      <alignment horizontal="center" vertical="top"/>
    </xf>
    <xf numFmtId="0" fontId="11" fillId="9" borderId="1" xfId="0" applyFont="1" applyFill="1" applyBorder="1" applyAlignment="1">
      <alignment horizontal="center" vertical="top"/>
    </xf>
    <xf numFmtId="0" fontId="10" fillId="3" borderId="1" xfId="0" applyFont="1" applyFill="1" applyBorder="1" applyAlignment="1">
      <alignment horizontal="right" vertical="top" wrapText="1"/>
    </xf>
    <xf numFmtId="0" fontId="12" fillId="3" borderId="1" xfId="0" applyFont="1" applyFill="1" applyBorder="1" applyAlignment="1">
      <alignment horizontal="left" vertical="top" wrapText="1"/>
    </xf>
    <xf numFmtId="0" fontId="10" fillId="7" borderId="1" xfId="0" applyFont="1" applyFill="1" applyBorder="1" applyAlignment="1">
      <alignment vertical="top"/>
    </xf>
  </cellXfs>
  <cellStyles count="1">
    <cellStyle name="Normal" xfId="0" builtinId="0"/>
  </cellStyles>
  <dxfs count="51">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
      <font>
        <sz val="11"/>
        <color rgb="FF000000"/>
        <name val="Calibri"/>
        <family val="2"/>
        <charset val="1"/>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Normal="100" workbookViewId="0">
      <selection activeCell="E13" sqref="E13"/>
    </sheetView>
  </sheetViews>
  <sheetFormatPr baseColWidth="10" defaultColWidth="8.5" defaultRowHeight="15" x14ac:dyDescent="0.2"/>
  <cols>
    <col min="1" max="1" width="34" customWidth="1"/>
    <col min="2" max="13" width="11" customWidth="1"/>
  </cols>
  <sheetData>
    <row r="1" spans="1:16" ht="36" customHeight="1" x14ac:dyDescent="0.2">
      <c r="A1" s="3" t="s">
        <v>0</v>
      </c>
      <c r="B1" s="3"/>
      <c r="C1" s="3"/>
      <c r="D1" s="3"/>
      <c r="E1" s="3"/>
      <c r="F1" s="3"/>
      <c r="G1" s="3"/>
      <c r="H1" s="3"/>
      <c r="I1" s="3"/>
      <c r="J1" s="3"/>
      <c r="K1" s="3"/>
      <c r="L1" s="3"/>
      <c r="M1" s="3"/>
      <c r="N1" s="3"/>
      <c r="O1" s="3"/>
      <c r="P1" s="3"/>
    </row>
    <row r="2" spans="1:16" ht="19.5" customHeight="1" x14ac:dyDescent="0.2">
      <c r="A2" s="2"/>
      <c r="B2" s="2"/>
      <c r="C2" s="2"/>
      <c r="D2" s="2"/>
      <c r="E2" s="2"/>
      <c r="F2" s="2"/>
      <c r="G2" s="2"/>
      <c r="H2" s="2"/>
      <c r="I2" s="2"/>
      <c r="J2" s="2"/>
      <c r="K2" s="2"/>
      <c r="L2" s="2"/>
      <c r="M2" s="2"/>
      <c r="N2" s="2"/>
      <c r="O2" s="2"/>
      <c r="P2" s="2"/>
    </row>
    <row r="3" spans="1:16" ht="18" customHeight="1" x14ac:dyDescent="0.2">
      <c r="A3" s="1"/>
      <c r="B3" s="1"/>
      <c r="C3" s="4"/>
      <c r="E3" s="4"/>
      <c r="G3" s="4"/>
      <c r="I3" s="4"/>
      <c r="K3" s="4"/>
      <c r="M3" s="4"/>
      <c r="O3" s="4"/>
    </row>
    <row r="5" spans="1:16" ht="31.5" customHeight="1" x14ac:dyDescent="0.2">
      <c r="A5" s="5" t="s">
        <v>1</v>
      </c>
      <c r="B5" s="5" t="s">
        <v>2</v>
      </c>
      <c r="C5" s="5" t="s">
        <v>3</v>
      </c>
      <c r="D5" s="5" t="s">
        <v>4</v>
      </c>
      <c r="E5" s="5" t="s">
        <v>5</v>
      </c>
      <c r="F5" s="5" t="s">
        <v>6</v>
      </c>
      <c r="G5" s="5" t="s">
        <v>7</v>
      </c>
      <c r="H5" s="5" t="s">
        <v>8</v>
      </c>
      <c r="I5" s="5" t="s">
        <v>9</v>
      </c>
      <c r="J5" s="5" t="s">
        <v>10</v>
      </c>
      <c r="K5" s="5" t="s">
        <v>11</v>
      </c>
      <c r="L5" s="5" t="s">
        <v>12</v>
      </c>
      <c r="M5" s="5" t="s">
        <v>13</v>
      </c>
    </row>
    <row r="6" spans="1:16" ht="18" customHeight="1" x14ac:dyDescent="0.2">
      <c r="A6" s="6" t="s">
        <v>14</v>
      </c>
      <c r="B6" s="7">
        <v>30</v>
      </c>
      <c r="C6" s="7">
        <v>8</v>
      </c>
      <c r="D6" s="7">
        <f>COUNTIFS('V1 - Encoding and Sanitization'!$F$2:$F$36,"Compliant",'V1 - Encoding and Sanitization'!$E$2:$E$36,1)</f>
        <v>5</v>
      </c>
      <c r="E6" s="8">
        <f t="shared" ref="E6:E20" si="0">IF(C6=0,"",D6/C6)</f>
        <v>0.625</v>
      </c>
      <c r="F6" s="7">
        <v>19</v>
      </c>
      <c r="G6" s="7">
        <f>COUNTIFS('V1 - Encoding and Sanitization'!$F$2:$F$36,"Compliant",'V1 - Encoding and Sanitization'!$E$2:$E$36,2)</f>
        <v>6</v>
      </c>
      <c r="H6" s="8">
        <f t="shared" ref="H6:H22" si="1">IF(F6=0,"",G6/F6)</f>
        <v>0.31578947368421051</v>
      </c>
      <c r="I6" s="7">
        <v>3</v>
      </c>
      <c r="J6" s="7">
        <f>COUNTIFS('V1 - Encoding and Sanitization'!$F$2:$F$36,"Compliant",'V1 - Encoding and Sanitization'!$E$2:$E$36,3)</f>
        <v>2</v>
      </c>
      <c r="K6" s="8">
        <f t="shared" ref="K6:K13" si="2">IF(I6=0,"",J6/I6)</f>
        <v>0.66666666666666663</v>
      </c>
      <c r="L6" s="7">
        <f>COUNTIF('V1 - Encoding and Sanitization'!$F$2:$F$36,"Compliant")</f>
        <v>13</v>
      </c>
      <c r="M6" s="8">
        <f t="shared" ref="M6:M22" si="3">IF(B6=0,"",L6/B6)</f>
        <v>0.43333333333333335</v>
      </c>
    </row>
    <row r="7" spans="1:16" ht="18" customHeight="1" x14ac:dyDescent="0.2">
      <c r="A7" s="9" t="s">
        <v>15</v>
      </c>
      <c r="B7" s="10">
        <v>13</v>
      </c>
      <c r="C7" s="10">
        <v>4</v>
      </c>
      <c r="D7" s="10">
        <f>COUNTIFS('V2 - Validation and Business Lo'!$F$2:$F$18,"Compliant",'V2 - Validation and Business Lo'!$E$2:$E$18,1)</f>
        <v>4</v>
      </c>
      <c r="E7" s="11">
        <f t="shared" si="0"/>
        <v>1</v>
      </c>
      <c r="F7" s="10">
        <v>7</v>
      </c>
      <c r="G7" s="10">
        <f>COUNTIFS('V2 - Validation and Business Lo'!$F$2:$F$18,"Compliant",'V2 - Validation and Business Lo'!$E$2:$E$18,2)</f>
        <v>6</v>
      </c>
      <c r="H7" s="11">
        <f t="shared" si="1"/>
        <v>0.8571428571428571</v>
      </c>
      <c r="I7" s="10">
        <v>2</v>
      </c>
      <c r="J7" s="10">
        <f>COUNTIFS('V2 - Validation and Business Lo'!$F$2:$F$18,"Compliant",'V2 - Validation and Business Lo'!$E$2:$E$18,3)</f>
        <v>0</v>
      </c>
      <c r="K7" s="11">
        <f t="shared" si="2"/>
        <v>0</v>
      </c>
      <c r="L7" s="10">
        <f>COUNTIF('V2 - Validation and Business Lo'!$F$2:$F$18,"Compliant")</f>
        <v>10</v>
      </c>
      <c r="M7" s="11">
        <f t="shared" si="3"/>
        <v>0.76923076923076927</v>
      </c>
    </row>
    <row r="8" spans="1:16" ht="18" customHeight="1" x14ac:dyDescent="0.2">
      <c r="A8" s="6" t="s">
        <v>16</v>
      </c>
      <c r="B8" s="7">
        <v>31</v>
      </c>
      <c r="C8" s="7">
        <v>8</v>
      </c>
      <c r="D8" s="7">
        <f>COUNTIFS('V3 - Web Frontend Security'!$F$2:$F$39,"Compliant",'V3 - Web Frontend Security'!$E$2:$E$39,1)</f>
        <v>1</v>
      </c>
      <c r="E8" s="8">
        <f t="shared" si="0"/>
        <v>0.125</v>
      </c>
      <c r="F8" s="7">
        <v>11</v>
      </c>
      <c r="G8" s="7">
        <f>COUNTIFS('V3 - Web Frontend Security'!$F$2:$F$39,"Compliant",'V3 - Web Frontend Security'!$E$2:$E$39,2)</f>
        <v>0</v>
      </c>
      <c r="H8" s="8">
        <f t="shared" si="1"/>
        <v>0</v>
      </c>
      <c r="I8" s="7">
        <v>12</v>
      </c>
      <c r="J8" s="7">
        <f>COUNTIFS('V3 - Web Frontend Security'!$F$2:$F$39,"Compliant",'V3 - Web Frontend Security'!$E$2:$E$39,3)</f>
        <v>0</v>
      </c>
      <c r="K8" s="8">
        <f t="shared" si="2"/>
        <v>0</v>
      </c>
      <c r="L8" s="7">
        <f>COUNTIF('V3 - Web Frontend Security'!$F$2:$F$39,"Compliant")</f>
        <v>1</v>
      </c>
      <c r="M8" s="8">
        <f t="shared" si="3"/>
        <v>3.2258064516129031E-2</v>
      </c>
    </row>
    <row r="9" spans="1:16" ht="18" customHeight="1" x14ac:dyDescent="0.2">
      <c r="A9" s="9" t="s">
        <v>17</v>
      </c>
      <c r="B9" s="10">
        <v>16</v>
      </c>
      <c r="C9" s="10">
        <v>2</v>
      </c>
      <c r="D9" s="10">
        <f>COUNTIFS('V4 - API and Web Service'!$F$2:$F$21,"Compliant",'V4 - API and Web Service'!$E$2:$E$21,1)</f>
        <v>1</v>
      </c>
      <c r="E9" s="11">
        <f t="shared" si="0"/>
        <v>0.5</v>
      </c>
      <c r="F9" s="10">
        <v>8</v>
      </c>
      <c r="G9" s="10">
        <f>COUNTIFS('V4 - API and Web Service'!$F$2:$F$21,"Compliant",'V4 - API and Web Service'!$E$2:$E$21,2)</f>
        <v>0</v>
      </c>
      <c r="H9" s="11">
        <f t="shared" si="1"/>
        <v>0</v>
      </c>
      <c r="I9" s="10">
        <v>6</v>
      </c>
      <c r="J9" s="10">
        <f>COUNTIFS('V4 - API and Web Service'!$F$2:$F$21,"Compliant",'V4 - API and Web Service'!$E$2:$E$21,3)</f>
        <v>0</v>
      </c>
      <c r="K9" s="11">
        <f t="shared" si="2"/>
        <v>0</v>
      </c>
      <c r="L9" s="10">
        <f>COUNTIF('V4 - API and Web Service'!$F$2:$F$21,"Compliant")</f>
        <v>1</v>
      </c>
      <c r="M9" s="11">
        <f t="shared" si="3"/>
        <v>6.25E-2</v>
      </c>
    </row>
    <row r="10" spans="1:16" ht="18" customHeight="1" x14ac:dyDescent="0.2">
      <c r="A10" s="6" t="s">
        <v>18</v>
      </c>
      <c r="B10" s="7">
        <v>13</v>
      </c>
      <c r="C10" s="7">
        <v>4</v>
      </c>
      <c r="D10" s="7">
        <f>COUNTIFS('V5 - File Handling'!$F$2:$F$18,"Compliant",'V5 - File Handling'!$E$2:$E$18,1)</f>
        <v>4</v>
      </c>
      <c r="E10" s="8">
        <f t="shared" si="0"/>
        <v>1</v>
      </c>
      <c r="F10" s="7">
        <v>5</v>
      </c>
      <c r="G10" s="7">
        <f>COUNTIFS('V5 - File Handling'!$F$2:$F$18,"Compliant",'V5 - File Handling'!$E$2:$E$18,2)</f>
        <v>2</v>
      </c>
      <c r="H10" s="8">
        <f t="shared" si="1"/>
        <v>0.4</v>
      </c>
      <c r="I10" s="7">
        <v>4</v>
      </c>
      <c r="J10" s="7">
        <f>COUNTIFS('V5 - File Handling'!$F$2:$F$18,"Compliant",'V5 - File Handling'!$E$2:$E$18,3)</f>
        <v>2</v>
      </c>
      <c r="K10" s="8">
        <f t="shared" si="2"/>
        <v>0.5</v>
      </c>
      <c r="L10" s="7">
        <f>COUNTIF('V5 - File Handling'!$F$2:$F$18,"Compliant")</f>
        <v>8</v>
      </c>
      <c r="M10" s="8">
        <f t="shared" si="3"/>
        <v>0.61538461538461542</v>
      </c>
    </row>
    <row r="11" spans="1:16" ht="18" customHeight="1" x14ac:dyDescent="0.2">
      <c r="A11" s="9" t="s">
        <v>19</v>
      </c>
      <c r="B11" s="10">
        <v>47</v>
      </c>
      <c r="C11" s="10">
        <v>13</v>
      </c>
      <c r="D11" s="10">
        <f>COUNTIFS('V6 - Authentication'!$F$2:$F$56,"Compliant",'V6 - Authentication'!$E$2:$E$56,1)</f>
        <v>8</v>
      </c>
      <c r="E11" s="11">
        <f t="shared" si="0"/>
        <v>0.61538461538461542</v>
      </c>
      <c r="F11" s="10">
        <v>22</v>
      </c>
      <c r="G11" s="10">
        <f>COUNTIFS('V6 - Authentication'!$F$2:$F$56,"Compliant",'V6 - Authentication'!$E$2:$E$56,2)</f>
        <v>7</v>
      </c>
      <c r="H11" s="11">
        <f t="shared" si="1"/>
        <v>0.31818181818181818</v>
      </c>
      <c r="I11" s="10">
        <v>12</v>
      </c>
      <c r="J11" s="10">
        <f>COUNTIFS('V6 - Authentication'!$F$2:$F$56,"Compliant",'V6 - Authentication'!$E$2:$E$56,3)</f>
        <v>2</v>
      </c>
      <c r="K11" s="11">
        <f t="shared" si="2"/>
        <v>0.16666666666666666</v>
      </c>
      <c r="L11" s="10">
        <f>COUNTIF('V6 - Authentication'!$F$2:$F$56,"Compliant")</f>
        <v>17</v>
      </c>
      <c r="M11" s="11">
        <f t="shared" si="3"/>
        <v>0.36170212765957449</v>
      </c>
    </row>
    <row r="12" spans="1:16" ht="18" customHeight="1" x14ac:dyDescent="0.2">
      <c r="A12" s="6" t="s">
        <v>20</v>
      </c>
      <c r="B12" s="7">
        <v>19</v>
      </c>
      <c r="C12" s="7">
        <v>6</v>
      </c>
      <c r="D12" s="7">
        <f>COUNTIFS('V7 - Session Management'!$F$2:$F$26,"Compliant",'V7 - Session Management'!$E$2:$E$26,1)</f>
        <v>4</v>
      </c>
      <c r="E12" s="8">
        <f t="shared" si="0"/>
        <v>0.66666666666666663</v>
      </c>
      <c r="F12" s="7">
        <v>12</v>
      </c>
      <c r="G12" s="7">
        <f>COUNTIFS('V7 - Session Management'!$F$2:$F$26,"Compliant",'V7 - Session Management'!$E$2:$E$26,2)</f>
        <v>5</v>
      </c>
      <c r="H12" s="8">
        <f t="shared" si="1"/>
        <v>0.41666666666666669</v>
      </c>
      <c r="I12" s="7">
        <v>1</v>
      </c>
      <c r="J12" s="7">
        <f>COUNTIFS('V7 - Session Management'!$F$2:$F$26,"Compliant",'V7 - Session Management'!$E$2:$E$26,3)</f>
        <v>0</v>
      </c>
      <c r="K12" s="8">
        <f t="shared" si="2"/>
        <v>0</v>
      </c>
      <c r="L12" s="7">
        <f>COUNTIF('V7 - Session Management'!$F$2:$F$26,"Compliant")</f>
        <v>9</v>
      </c>
      <c r="M12" s="8">
        <f t="shared" si="3"/>
        <v>0.47368421052631576</v>
      </c>
    </row>
    <row r="13" spans="1:16" ht="18" customHeight="1" x14ac:dyDescent="0.2">
      <c r="A13" s="9" t="s">
        <v>21</v>
      </c>
      <c r="B13" s="10">
        <v>13</v>
      </c>
      <c r="C13" s="10">
        <v>4</v>
      </c>
      <c r="D13" s="10">
        <f>COUNTIFS('V8 - Authorization'!$F$2:$F$18,"Compliant",'V8 - Authorization'!$E$2:$E$18,1)</f>
        <v>4</v>
      </c>
      <c r="E13" s="11">
        <f t="shared" si="0"/>
        <v>1</v>
      </c>
      <c r="F13" s="10">
        <v>3</v>
      </c>
      <c r="G13" s="10">
        <f>COUNTIFS('V8 - Authorization'!$F$2:$F$18,"Compliant",'V8 - Authorization'!$E$2:$E$18,2)</f>
        <v>2</v>
      </c>
      <c r="H13" s="11">
        <f t="shared" si="1"/>
        <v>0.66666666666666663</v>
      </c>
      <c r="I13" s="10">
        <v>6</v>
      </c>
      <c r="J13" s="10">
        <f>COUNTIFS('V8 - Authorization'!$F$2:$F$18,"Compliant",'V8 - Authorization'!$E$2:$E$18,3)</f>
        <v>1</v>
      </c>
      <c r="K13" s="11">
        <f t="shared" si="2"/>
        <v>0.16666666666666666</v>
      </c>
      <c r="L13" s="10">
        <f>COUNTIF('V8 - Authorization'!$F$2:$F$18,"Compliant")</f>
        <v>7</v>
      </c>
      <c r="M13" s="11">
        <f t="shared" si="3"/>
        <v>0.53846153846153844</v>
      </c>
    </row>
    <row r="14" spans="1:16" ht="18" customHeight="1" x14ac:dyDescent="0.2">
      <c r="A14" s="6" t="s">
        <v>22</v>
      </c>
      <c r="B14" s="7">
        <v>7</v>
      </c>
      <c r="C14" s="7">
        <v>4</v>
      </c>
      <c r="D14" s="7">
        <f>COUNTIFS('V9 - Self-contained Tokens'!$F$2:$F$10,"Compliant",'V9 - Self-contained Tokens'!$E$2:$E$10,1)</f>
        <v>4</v>
      </c>
      <c r="E14" s="8">
        <f t="shared" si="0"/>
        <v>1</v>
      </c>
      <c r="F14" s="7">
        <v>3</v>
      </c>
      <c r="G14" s="7">
        <f>COUNTIFS('V9 - Self-contained Tokens'!$F$2:$F$10,"Compliant",'V9 - Self-contained Tokens'!$E$2:$E$10,2)</f>
        <v>1</v>
      </c>
      <c r="H14" s="8">
        <f t="shared" si="1"/>
        <v>0.33333333333333331</v>
      </c>
      <c r="I14" s="7">
        <v>0</v>
      </c>
      <c r="J14" s="7" t="s">
        <v>23</v>
      </c>
      <c r="K14" s="7" t="s">
        <v>23</v>
      </c>
      <c r="L14" s="7">
        <f>COUNTIF('V9 - Self-contained Tokens'!$F$2:$F$10,"Compliant")</f>
        <v>5</v>
      </c>
      <c r="M14" s="8">
        <f t="shared" si="3"/>
        <v>0.7142857142857143</v>
      </c>
    </row>
    <row r="15" spans="1:16" ht="18" customHeight="1" x14ac:dyDescent="0.2">
      <c r="A15" s="9" t="s">
        <v>24</v>
      </c>
      <c r="B15" s="10">
        <v>36</v>
      </c>
      <c r="C15" s="10">
        <v>5</v>
      </c>
      <c r="D15" s="10">
        <f>COUNTIFS('V10 - OAuth and OIDC'!$F$2:$F$44,"Compliant",'V10 - OAuth and OIDC'!$E$2:$E$44,1)</f>
        <v>0</v>
      </c>
      <c r="E15" s="11">
        <f t="shared" si="0"/>
        <v>0</v>
      </c>
      <c r="F15" s="10">
        <v>24</v>
      </c>
      <c r="G15" s="10">
        <f>COUNTIFS('V10 - OAuth and OIDC'!$F$2:$F$44,"Compliant",'V10 - OAuth and OIDC'!$E$2:$E$44,2)</f>
        <v>0</v>
      </c>
      <c r="H15" s="11">
        <f t="shared" si="1"/>
        <v>0</v>
      </c>
      <c r="I15" s="10">
        <v>7</v>
      </c>
      <c r="J15" s="10">
        <f>COUNTIFS('V10 - OAuth and OIDC'!$F$2:$F$44,"Compliant",'V10 - OAuth and OIDC'!$E$2:$E$44,3)</f>
        <v>0</v>
      </c>
      <c r="K15" s="11">
        <f t="shared" ref="K15:K22" si="4">IF(I15=0,"",J15/I15)</f>
        <v>0</v>
      </c>
      <c r="L15" s="10">
        <f>COUNTIF('V10 - OAuth and OIDC'!$F$2:$F$44,"Compliant")</f>
        <v>0</v>
      </c>
      <c r="M15" s="11">
        <f t="shared" si="3"/>
        <v>0</v>
      </c>
    </row>
    <row r="16" spans="1:16" ht="18" customHeight="1" x14ac:dyDescent="0.2">
      <c r="A16" s="6" t="s">
        <v>25</v>
      </c>
      <c r="B16" s="7">
        <v>24</v>
      </c>
      <c r="C16" s="7">
        <v>3</v>
      </c>
      <c r="D16" s="7">
        <f>COUNTIFS('V11 - Cryptography'!$F$2:$F$32,"Compliant",'V11 - Cryptography'!$E$2:$E$32,1)</f>
        <v>3</v>
      </c>
      <c r="E16" s="8">
        <f t="shared" si="0"/>
        <v>1</v>
      </c>
      <c r="F16" s="7">
        <v>11</v>
      </c>
      <c r="G16" s="7">
        <f>COUNTIFS('V11 - Cryptography'!$F$2:$F$32,"Compliant",'V11 - Cryptography'!$E$2:$E$32,2)</f>
        <v>6</v>
      </c>
      <c r="H16" s="8">
        <f t="shared" si="1"/>
        <v>0.54545454545454541</v>
      </c>
      <c r="I16" s="7">
        <v>10</v>
      </c>
      <c r="J16" s="7">
        <f>COUNTIFS('V11 - Cryptography'!$F$2:$F$32,"Compliant",'V11 - Cryptography'!$E$2:$E$32,3)</f>
        <v>4</v>
      </c>
      <c r="K16" s="8">
        <f t="shared" si="4"/>
        <v>0.4</v>
      </c>
      <c r="L16" s="7">
        <f>COUNTIF('V11 - Cryptography'!$F$2:$F$32,"Compliant")</f>
        <v>13</v>
      </c>
      <c r="M16" s="8">
        <f t="shared" si="3"/>
        <v>0.54166666666666663</v>
      </c>
    </row>
    <row r="17" spans="1:13" ht="18" customHeight="1" x14ac:dyDescent="0.2">
      <c r="A17" s="9" t="s">
        <v>26</v>
      </c>
      <c r="B17" s="10">
        <v>12</v>
      </c>
      <c r="C17" s="10">
        <v>3</v>
      </c>
      <c r="D17" s="10">
        <f>COUNTIFS('V12 - Secure Communication'!$F$2:$F$16,"Compliant",'V12 - Secure Communication'!$E$2:$E$16,1)</f>
        <v>3</v>
      </c>
      <c r="E17" s="11">
        <f t="shared" si="0"/>
        <v>1</v>
      </c>
      <c r="F17" s="10">
        <v>6</v>
      </c>
      <c r="G17" s="10">
        <f>COUNTIFS('V12 - Secure Communication'!$F$2:$F$16,"Compliant",'V12 - Secure Communication'!$E$2:$E$16,2)</f>
        <v>1</v>
      </c>
      <c r="H17" s="11">
        <f t="shared" si="1"/>
        <v>0.16666666666666666</v>
      </c>
      <c r="I17" s="10">
        <v>3</v>
      </c>
      <c r="J17" s="10">
        <f>COUNTIFS('V12 - Secure Communication'!$F$2:$F$16,"Compliant",'V12 - Secure Communication'!$E$2:$E$16,3)</f>
        <v>0</v>
      </c>
      <c r="K17" s="11">
        <f t="shared" si="4"/>
        <v>0</v>
      </c>
      <c r="L17" s="10">
        <f>COUNTIF('V12 - Secure Communication'!$F$2:$F$16,"Compliant")</f>
        <v>4</v>
      </c>
      <c r="M17" s="11">
        <f t="shared" si="3"/>
        <v>0.33333333333333331</v>
      </c>
    </row>
    <row r="18" spans="1:13" ht="18" customHeight="1" x14ac:dyDescent="0.2">
      <c r="A18" s="6" t="s">
        <v>27</v>
      </c>
      <c r="B18" s="7">
        <v>21</v>
      </c>
      <c r="C18" s="7">
        <v>1</v>
      </c>
      <c r="D18" s="7">
        <f>COUNTIFS('V13 - Configuration'!$F$2:$F$26,"Compliant",'V13 - Configuration'!$E$2:$E$26,1)</f>
        <v>0</v>
      </c>
      <c r="E18" s="8">
        <f t="shared" si="0"/>
        <v>0</v>
      </c>
      <c r="F18" s="7">
        <v>12</v>
      </c>
      <c r="G18" s="7">
        <f>COUNTIFS('V13 - Configuration'!$F$2:$F$26,"Compliant",'V13 - Configuration'!$E$2:$E$26,2)</f>
        <v>1</v>
      </c>
      <c r="H18" s="8">
        <f t="shared" si="1"/>
        <v>8.3333333333333329E-2</v>
      </c>
      <c r="I18" s="7">
        <v>8</v>
      </c>
      <c r="J18" s="7">
        <f>COUNTIFS('V13 - Configuration'!$F$2:$F$26,"Compliant",'V13 - Configuration'!$E$2:$E$26,3)</f>
        <v>0</v>
      </c>
      <c r="K18" s="8">
        <f t="shared" si="4"/>
        <v>0</v>
      </c>
      <c r="L18" s="7">
        <f>COUNTIF('V13 - Configuration'!$F$2:$F$26,"Compliant")</f>
        <v>1</v>
      </c>
      <c r="M18" s="8">
        <f t="shared" si="3"/>
        <v>4.7619047619047616E-2</v>
      </c>
    </row>
    <row r="19" spans="1:13" ht="18" customHeight="1" x14ac:dyDescent="0.2">
      <c r="A19" s="9" t="s">
        <v>28</v>
      </c>
      <c r="B19" s="10">
        <v>13</v>
      </c>
      <c r="C19" s="10">
        <v>2</v>
      </c>
      <c r="D19" s="10">
        <f>COUNTIFS('V14 - Data Protection'!$F$2:$F$17,"Compliant",'V14 - Data Protection'!$E$2:$E$17,1)</f>
        <v>1</v>
      </c>
      <c r="E19" s="11">
        <f t="shared" si="0"/>
        <v>0.5</v>
      </c>
      <c r="F19" s="10">
        <v>7</v>
      </c>
      <c r="G19" s="10">
        <f>COUNTIFS('V14 - Data Protection'!$F$2:$F$17,"Compliant",'V14 - Data Protection'!$E$2:$E$17,2)</f>
        <v>2</v>
      </c>
      <c r="H19" s="11">
        <f t="shared" si="1"/>
        <v>0.2857142857142857</v>
      </c>
      <c r="I19" s="10">
        <v>4</v>
      </c>
      <c r="J19" s="10">
        <f>COUNTIFS('V14 - Data Protection'!$F$2:$F$17,"Compliant",'V14 - Data Protection'!$E$2:$E$17,3)</f>
        <v>1</v>
      </c>
      <c r="K19" s="11">
        <f t="shared" si="4"/>
        <v>0.25</v>
      </c>
      <c r="L19" s="10">
        <f>COUNTIF('V14 - Data Protection'!$F$2:$F$17,"Compliant")</f>
        <v>4</v>
      </c>
      <c r="M19" s="11">
        <f t="shared" si="3"/>
        <v>0.30769230769230771</v>
      </c>
    </row>
    <row r="20" spans="1:13" ht="18" customHeight="1" x14ac:dyDescent="0.2">
      <c r="A20" s="6" t="s">
        <v>29</v>
      </c>
      <c r="B20" s="7">
        <v>21</v>
      </c>
      <c r="C20" s="7">
        <v>3</v>
      </c>
      <c r="D20" s="7">
        <f>COUNTIFS('V15 - Secure Coding and Archite'!$F$2:$F$26,"Compliant",'V15 - Secure Coding and Archite'!$E$2:$E$26,1)</f>
        <v>1</v>
      </c>
      <c r="E20" s="8">
        <f t="shared" si="0"/>
        <v>0.33333333333333331</v>
      </c>
      <c r="F20" s="7">
        <v>10</v>
      </c>
      <c r="G20" s="7">
        <f>COUNTIFS('V15 - Secure Coding and Archite'!$F$2:$F$26,"Compliant",'V15 - Secure Coding and Archite'!$E$2:$E$26,2)</f>
        <v>3</v>
      </c>
      <c r="H20" s="8">
        <f t="shared" si="1"/>
        <v>0.3</v>
      </c>
      <c r="I20" s="7">
        <v>8</v>
      </c>
      <c r="J20" s="7">
        <f>COUNTIFS('V15 - Secure Coding and Archite'!$F$2:$F$26,"Compliant",'V15 - Secure Coding and Archite'!$E$2:$E$26,3)</f>
        <v>4</v>
      </c>
      <c r="K20" s="8">
        <f t="shared" si="4"/>
        <v>0.5</v>
      </c>
      <c r="L20" s="7">
        <f>COUNTIF('V15 - Secure Coding and Archite'!$F$2:$F$26,"Compliant")</f>
        <v>8</v>
      </c>
      <c r="M20" s="8">
        <f t="shared" si="3"/>
        <v>0.38095238095238093</v>
      </c>
    </row>
    <row r="21" spans="1:13" ht="18" customHeight="1" x14ac:dyDescent="0.2">
      <c r="A21" s="9" t="s">
        <v>30</v>
      </c>
      <c r="B21" s="10">
        <v>17</v>
      </c>
      <c r="C21" s="10">
        <v>0</v>
      </c>
      <c r="D21" s="10" t="s">
        <v>23</v>
      </c>
      <c r="E21" s="10" t="s">
        <v>23</v>
      </c>
      <c r="F21" s="10">
        <v>16</v>
      </c>
      <c r="G21" s="10">
        <f>COUNTIFS('V16 - Security Logging and Erro'!$F$2:$F$23,"Compliant",'V16 - Security Logging and Erro'!$E$2:$E$23,2)</f>
        <v>6</v>
      </c>
      <c r="H21" s="11">
        <f t="shared" si="1"/>
        <v>0.375</v>
      </c>
      <c r="I21" s="10">
        <v>1</v>
      </c>
      <c r="J21" s="10">
        <f>COUNTIFS('V16 - Security Logging and Erro'!$F$2:$F$23,"Compliant",'V16 - Security Logging and Erro'!$E$2:$E$23,3)</f>
        <v>0</v>
      </c>
      <c r="K21" s="11">
        <f t="shared" si="4"/>
        <v>0</v>
      </c>
      <c r="L21" s="10">
        <f>COUNTIF('V16 - Security Logging and Erro'!$F$2:$F$23,"Compliant")</f>
        <v>6</v>
      </c>
      <c r="M21" s="11">
        <f t="shared" si="3"/>
        <v>0.35294117647058826</v>
      </c>
    </row>
    <row r="22" spans="1:13" ht="18" customHeight="1" x14ac:dyDescent="0.2">
      <c r="A22" s="6" t="s">
        <v>31</v>
      </c>
      <c r="B22" s="7">
        <v>12</v>
      </c>
      <c r="C22" s="7">
        <v>0</v>
      </c>
      <c r="D22" s="7" t="s">
        <v>23</v>
      </c>
      <c r="E22" s="7" t="s">
        <v>23</v>
      </c>
      <c r="F22" s="7">
        <v>7</v>
      </c>
      <c r="G22" s="7">
        <f>COUNTIFS('V17 - WebRTC'!$F$2:$F$16,"Compliant",'V17 - WebRTC'!$E$2:$E$16,2)</f>
        <v>0</v>
      </c>
      <c r="H22" s="8">
        <f t="shared" si="1"/>
        <v>0</v>
      </c>
      <c r="I22" s="7">
        <v>5</v>
      </c>
      <c r="J22" s="7">
        <f>COUNTIFS('V17 - WebRTC'!$F$2:$F$16,"Compliant",'V17 - WebRTC'!$E$2:$E$16,3)</f>
        <v>0</v>
      </c>
      <c r="K22" s="8">
        <f t="shared" si="4"/>
        <v>0</v>
      </c>
      <c r="L22" s="7">
        <f>COUNTIF('V17 - WebRTC'!$F$2:$F$16,"Compliant")</f>
        <v>0</v>
      </c>
      <c r="M22" s="8">
        <f t="shared" si="3"/>
        <v>0</v>
      </c>
    </row>
    <row r="23" spans="1:13" ht="21.75" customHeight="1" x14ac:dyDescent="0.2">
      <c r="A23" s="12" t="s">
        <v>32</v>
      </c>
      <c r="B23" s="13">
        <f>SUM(B6:B22)</f>
        <v>345</v>
      </c>
      <c r="C23" s="13">
        <f>SUM(C6:C22)</f>
        <v>70</v>
      </c>
      <c r="D23" s="13">
        <f>SUM(D6:D22)</f>
        <v>43</v>
      </c>
      <c r="E23" s="14">
        <f>IFERROR(AVERAGE(E6:E22),"")</f>
        <v>0.62435897435897436</v>
      </c>
      <c r="F23" s="13">
        <f>SUM(F6:F22)</f>
        <v>183</v>
      </c>
      <c r="G23" s="13">
        <f>SUM(G6:G22)</f>
        <v>48</v>
      </c>
      <c r="H23" s="14">
        <f>IFERROR(AVERAGE(H6:H22),"")</f>
        <v>0.29787939099084609</v>
      </c>
      <c r="I23" s="13">
        <f>SUM(I6:I22)</f>
        <v>92</v>
      </c>
      <c r="J23" s="13">
        <f>SUM(J6:J22)</f>
        <v>16</v>
      </c>
      <c r="K23" s="14">
        <f>IFERROR(AVERAGE(K6:K22),"")</f>
        <v>0.16562499999999999</v>
      </c>
      <c r="L23" s="13">
        <f>SUM(L6:L22)</f>
        <v>107</v>
      </c>
      <c r="M23" s="14">
        <f>IFERROR(AVERAGE(M6:M22),"")</f>
        <v>0.35088501683131257</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11023622047" footer="0.511811023622047"/>
  <pageSetup orientation="portrait" useFirstPageNumber="1"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Normal="100" workbookViewId="0">
      <pane ySplit="1" topLeftCell="A19" activePane="bottomLeft" state="frozen"/>
      <selection pane="bottomLeft" activeCell="G41" sqref="G41"/>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51" customWidth="1"/>
    <col min="8" max="8" width="40.1640625" customWidth="1"/>
  </cols>
  <sheetData>
    <row r="1" spans="1:8" ht="27.75" customHeight="1" x14ac:dyDescent="0.2">
      <c r="A1" s="15" t="s">
        <v>33</v>
      </c>
      <c r="B1" s="15" t="s">
        <v>34</v>
      </c>
      <c r="C1" s="15" t="s">
        <v>35</v>
      </c>
      <c r="D1" s="15" t="s">
        <v>36</v>
      </c>
      <c r="E1" s="15" t="s">
        <v>37</v>
      </c>
      <c r="F1" s="15" t="s">
        <v>38</v>
      </c>
      <c r="G1" s="15" t="s">
        <v>39</v>
      </c>
      <c r="H1" s="15" t="s">
        <v>40</v>
      </c>
    </row>
    <row r="2" spans="1:8" ht="18" customHeight="1" x14ac:dyDescent="0.2">
      <c r="A2" s="16" t="s">
        <v>41</v>
      </c>
      <c r="B2" s="16" t="s">
        <v>42</v>
      </c>
      <c r="C2" s="16"/>
      <c r="D2" s="16"/>
      <c r="E2" s="16"/>
      <c r="F2" s="16"/>
      <c r="G2" s="16"/>
      <c r="H2" s="16"/>
    </row>
    <row r="3" spans="1:8" ht="43.5" customHeight="1" x14ac:dyDescent="0.2">
      <c r="A3" s="17" t="s">
        <v>41</v>
      </c>
      <c r="B3" s="17" t="s">
        <v>42</v>
      </c>
      <c r="C3" s="18" t="s">
        <v>43</v>
      </c>
      <c r="D3" s="19" t="s">
        <v>44</v>
      </c>
      <c r="E3" s="20">
        <v>2</v>
      </c>
      <c r="F3" s="21" t="s">
        <v>45</v>
      </c>
      <c r="G3" s="22" t="s">
        <v>46</v>
      </c>
      <c r="H3" s="23" t="s">
        <v>47</v>
      </c>
    </row>
    <row r="4" spans="1:8" ht="30" customHeight="1" x14ac:dyDescent="0.2">
      <c r="A4" s="24" t="s">
        <v>41</v>
      </c>
      <c r="B4" s="24" t="s">
        <v>42</v>
      </c>
      <c r="C4" s="25" t="s">
        <v>48</v>
      </c>
      <c r="D4" s="26" t="s">
        <v>49</v>
      </c>
      <c r="E4" s="20">
        <v>2</v>
      </c>
      <c r="F4" s="21" t="s">
        <v>45</v>
      </c>
      <c r="G4" s="27" t="s">
        <v>50</v>
      </c>
      <c r="H4" s="27" t="s">
        <v>51</v>
      </c>
    </row>
    <row r="5" spans="1:8" ht="18" customHeight="1" x14ac:dyDescent="0.2">
      <c r="A5" s="16" t="s">
        <v>52</v>
      </c>
      <c r="B5" s="16" t="s">
        <v>53</v>
      </c>
      <c r="C5" s="16"/>
      <c r="D5" s="16"/>
      <c r="E5" s="16"/>
      <c r="F5" s="16"/>
      <c r="G5" s="28"/>
      <c r="H5" s="28"/>
    </row>
    <row r="6" spans="1:8" ht="30" customHeight="1" x14ac:dyDescent="0.2">
      <c r="A6" s="17" t="s">
        <v>52</v>
      </c>
      <c r="B6" s="17" t="s">
        <v>53</v>
      </c>
      <c r="C6" s="18" t="s">
        <v>54</v>
      </c>
      <c r="D6" s="19" t="s">
        <v>55</v>
      </c>
      <c r="E6" s="29">
        <v>1</v>
      </c>
      <c r="F6" s="21" t="s">
        <v>45</v>
      </c>
      <c r="G6" s="22" t="s">
        <v>56</v>
      </c>
      <c r="H6" s="22" t="s">
        <v>57</v>
      </c>
    </row>
    <row r="7" spans="1:8" ht="30" customHeight="1" x14ac:dyDescent="0.2">
      <c r="A7" s="24" t="s">
        <v>52</v>
      </c>
      <c r="B7" s="24" t="s">
        <v>53</v>
      </c>
      <c r="C7" s="25" t="s">
        <v>58</v>
      </c>
      <c r="D7" s="26" t="s">
        <v>59</v>
      </c>
      <c r="E7" s="29">
        <v>1</v>
      </c>
      <c r="F7" s="21" t="s">
        <v>60</v>
      </c>
      <c r="G7" s="27" t="s">
        <v>61</v>
      </c>
      <c r="H7" s="27" t="s">
        <v>23</v>
      </c>
    </row>
    <row r="8" spans="1:8" ht="30" customHeight="1" x14ac:dyDescent="0.2">
      <c r="A8" s="17" t="s">
        <v>52</v>
      </c>
      <c r="B8" s="17" t="s">
        <v>53</v>
      </c>
      <c r="C8" s="18" t="s">
        <v>62</v>
      </c>
      <c r="D8" s="19" t="s">
        <v>63</v>
      </c>
      <c r="E8" s="29">
        <v>1</v>
      </c>
      <c r="F8" s="21" t="s">
        <v>60</v>
      </c>
      <c r="G8" s="22" t="s">
        <v>64</v>
      </c>
      <c r="H8" s="27" t="s">
        <v>23</v>
      </c>
    </row>
    <row r="9" spans="1:8" ht="30" customHeight="1" x14ac:dyDescent="0.2">
      <c r="A9" s="24" t="s">
        <v>52</v>
      </c>
      <c r="B9" s="24" t="s">
        <v>53</v>
      </c>
      <c r="C9" s="25" t="s">
        <v>65</v>
      </c>
      <c r="D9" s="26" t="s">
        <v>66</v>
      </c>
      <c r="E9" s="29">
        <v>1</v>
      </c>
      <c r="F9" s="21" t="s">
        <v>45</v>
      </c>
      <c r="G9" s="22" t="s">
        <v>67</v>
      </c>
      <c r="H9" s="22" t="s">
        <v>68</v>
      </c>
    </row>
    <row r="10" spans="1:8" ht="30" customHeight="1" x14ac:dyDescent="0.2">
      <c r="A10" s="17" t="s">
        <v>52</v>
      </c>
      <c r="B10" s="17" t="s">
        <v>53</v>
      </c>
      <c r="C10" s="18" t="s">
        <v>69</v>
      </c>
      <c r="D10" s="19" t="s">
        <v>70</v>
      </c>
      <c r="E10" s="29">
        <v>1</v>
      </c>
      <c r="F10" s="21" t="s">
        <v>45</v>
      </c>
      <c r="G10" s="22" t="s">
        <v>71</v>
      </c>
      <c r="H10" s="22" t="s">
        <v>72</v>
      </c>
    </row>
    <row r="11" spans="1:8" ht="30" customHeight="1" x14ac:dyDescent="0.2">
      <c r="A11" s="24" t="s">
        <v>52</v>
      </c>
      <c r="B11" s="24" t="s">
        <v>53</v>
      </c>
      <c r="C11" s="25" t="s">
        <v>73</v>
      </c>
      <c r="D11" s="26" t="s">
        <v>74</v>
      </c>
      <c r="E11" s="20">
        <v>2</v>
      </c>
      <c r="F11" s="21" t="s">
        <v>60</v>
      </c>
      <c r="G11" s="22" t="s">
        <v>75</v>
      </c>
      <c r="H11" s="27" t="s">
        <v>23</v>
      </c>
    </row>
    <row r="12" spans="1:8" ht="30" customHeight="1" x14ac:dyDescent="0.2">
      <c r="A12" s="17" t="s">
        <v>52</v>
      </c>
      <c r="B12" s="17" t="s">
        <v>53</v>
      </c>
      <c r="C12" s="18" t="s">
        <v>76</v>
      </c>
      <c r="D12" s="19" t="s">
        <v>77</v>
      </c>
      <c r="E12" s="20">
        <v>2</v>
      </c>
      <c r="F12" s="21" t="s">
        <v>60</v>
      </c>
      <c r="G12" s="22" t="s">
        <v>78</v>
      </c>
      <c r="H12" s="27" t="s">
        <v>23</v>
      </c>
    </row>
    <row r="13" spans="1:8" ht="30" customHeight="1" x14ac:dyDescent="0.2">
      <c r="A13" s="24" t="s">
        <v>52</v>
      </c>
      <c r="B13" s="24" t="s">
        <v>53</v>
      </c>
      <c r="C13" s="25" t="s">
        <v>79</v>
      </c>
      <c r="D13" s="26" t="s">
        <v>80</v>
      </c>
      <c r="E13" s="20">
        <v>2</v>
      </c>
      <c r="F13" s="21" t="s">
        <v>60</v>
      </c>
      <c r="G13" s="22" t="s">
        <v>81</v>
      </c>
      <c r="H13" s="27" t="s">
        <v>23</v>
      </c>
    </row>
    <row r="14" spans="1:8" ht="30" customHeight="1" x14ac:dyDescent="0.2">
      <c r="A14" s="17" t="s">
        <v>52</v>
      </c>
      <c r="B14" s="17" t="s">
        <v>53</v>
      </c>
      <c r="C14" s="18" t="s">
        <v>82</v>
      </c>
      <c r="D14" s="19" t="s">
        <v>83</v>
      </c>
      <c r="E14" s="20">
        <v>2</v>
      </c>
      <c r="F14" s="21" t="s">
        <v>45</v>
      </c>
      <c r="G14" s="22" t="s">
        <v>84</v>
      </c>
      <c r="H14" s="22" t="s">
        <v>85</v>
      </c>
    </row>
    <row r="15" spans="1:8" ht="30" customHeight="1" x14ac:dyDescent="0.2">
      <c r="A15" s="24" t="s">
        <v>52</v>
      </c>
      <c r="B15" s="24" t="s">
        <v>53</v>
      </c>
      <c r="C15" s="25" t="s">
        <v>86</v>
      </c>
      <c r="D15" s="26" t="s">
        <v>87</v>
      </c>
      <c r="E15" s="30">
        <v>3</v>
      </c>
      <c r="F15" s="21" t="s">
        <v>60</v>
      </c>
      <c r="G15" s="22" t="s">
        <v>88</v>
      </c>
      <c r="H15" s="27" t="s">
        <v>23</v>
      </c>
    </row>
    <row r="16" spans="1:8" ht="18" customHeight="1" x14ac:dyDescent="0.2">
      <c r="A16" s="16" t="s">
        <v>89</v>
      </c>
      <c r="B16" s="16" t="s">
        <v>90</v>
      </c>
      <c r="C16" s="16"/>
      <c r="D16" s="16"/>
      <c r="E16" s="16"/>
      <c r="F16" s="16"/>
      <c r="G16" s="22"/>
      <c r="H16" s="22"/>
    </row>
    <row r="17" spans="1:8" ht="30" customHeight="1" x14ac:dyDescent="0.2">
      <c r="A17" s="17" t="s">
        <v>89</v>
      </c>
      <c r="B17" s="17" t="s">
        <v>90</v>
      </c>
      <c r="C17" s="18" t="s">
        <v>91</v>
      </c>
      <c r="D17" s="19" t="s">
        <v>92</v>
      </c>
      <c r="E17" s="29">
        <v>1</v>
      </c>
      <c r="F17" s="21" t="s">
        <v>60</v>
      </c>
      <c r="G17" s="22" t="s">
        <v>93</v>
      </c>
      <c r="H17" s="27" t="s">
        <v>23</v>
      </c>
    </row>
    <row r="18" spans="1:8" ht="30" customHeight="1" x14ac:dyDescent="0.2">
      <c r="A18" s="24" t="s">
        <v>89</v>
      </c>
      <c r="B18" s="24" t="s">
        <v>90</v>
      </c>
      <c r="C18" s="25" t="s">
        <v>94</v>
      </c>
      <c r="D18" s="26" t="s">
        <v>95</v>
      </c>
      <c r="E18" s="29">
        <v>1</v>
      </c>
      <c r="F18" s="21" t="s">
        <v>45</v>
      </c>
      <c r="G18" s="22" t="s">
        <v>96</v>
      </c>
      <c r="H18" s="22" t="s">
        <v>97</v>
      </c>
    </row>
    <row r="19" spans="1:8" ht="30" customHeight="1" x14ac:dyDescent="0.2">
      <c r="A19" s="17" t="s">
        <v>89</v>
      </c>
      <c r="B19" s="17" t="s">
        <v>90</v>
      </c>
      <c r="C19" s="18" t="s">
        <v>98</v>
      </c>
      <c r="D19" s="19" t="s">
        <v>99</v>
      </c>
      <c r="E19" s="20">
        <v>2</v>
      </c>
      <c r="F19" s="21" t="s">
        <v>45</v>
      </c>
      <c r="G19" s="22" t="s">
        <v>100</v>
      </c>
      <c r="H19" s="22" t="s">
        <v>101</v>
      </c>
    </row>
    <row r="20" spans="1:8" ht="30" customHeight="1" x14ac:dyDescent="0.2">
      <c r="A20" s="24" t="s">
        <v>89</v>
      </c>
      <c r="B20" s="24" t="s">
        <v>90</v>
      </c>
      <c r="C20" s="25" t="s">
        <v>102</v>
      </c>
      <c r="D20" s="26" t="s">
        <v>103</v>
      </c>
      <c r="E20" s="20">
        <v>2</v>
      </c>
      <c r="F20" s="21" t="s">
        <v>60</v>
      </c>
      <c r="G20" s="22" t="s">
        <v>104</v>
      </c>
      <c r="H20" s="27" t="s">
        <v>23</v>
      </c>
    </row>
    <row r="21" spans="1:8" ht="30" customHeight="1" x14ac:dyDescent="0.2">
      <c r="A21" s="17" t="s">
        <v>89</v>
      </c>
      <c r="B21" s="17" t="s">
        <v>90</v>
      </c>
      <c r="C21" s="18" t="s">
        <v>105</v>
      </c>
      <c r="D21" s="19" t="s">
        <v>106</v>
      </c>
      <c r="E21" s="20">
        <v>2</v>
      </c>
      <c r="F21" s="21" t="s">
        <v>60</v>
      </c>
      <c r="G21" s="22" t="s">
        <v>107</v>
      </c>
      <c r="H21" s="27" t="s">
        <v>23</v>
      </c>
    </row>
    <row r="22" spans="1:8" ht="30" customHeight="1" x14ac:dyDescent="0.2">
      <c r="A22" s="24" t="s">
        <v>89</v>
      </c>
      <c r="B22" s="24" t="s">
        <v>90</v>
      </c>
      <c r="C22" s="25" t="s">
        <v>108</v>
      </c>
      <c r="D22" s="26" t="s">
        <v>109</v>
      </c>
      <c r="E22" s="20">
        <v>2</v>
      </c>
      <c r="F22" s="21" t="s">
        <v>60</v>
      </c>
      <c r="G22" s="22" t="s">
        <v>110</v>
      </c>
      <c r="H22" s="27" t="s">
        <v>23</v>
      </c>
    </row>
    <row r="23" spans="1:8" ht="30" customHeight="1" x14ac:dyDescent="0.2">
      <c r="A23" s="17" t="s">
        <v>89</v>
      </c>
      <c r="B23" s="17" t="s">
        <v>90</v>
      </c>
      <c r="C23" s="18" t="s">
        <v>111</v>
      </c>
      <c r="D23" s="19" t="s">
        <v>112</v>
      </c>
      <c r="E23" s="20">
        <v>2</v>
      </c>
      <c r="F23" s="21" t="s">
        <v>60</v>
      </c>
      <c r="G23" s="22" t="s">
        <v>113</v>
      </c>
      <c r="H23" s="27" t="s">
        <v>23</v>
      </c>
    </row>
    <row r="24" spans="1:8" ht="30" customHeight="1" x14ac:dyDescent="0.2">
      <c r="A24" s="24" t="s">
        <v>89</v>
      </c>
      <c r="B24" s="24" t="s">
        <v>90</v>
      </c>
      <c r="C24" s="25" t="s">
        <v>114</v>
      </c>
      <c r="D24" s="26" t="s">
        <v>115</v>
      </c>
      <c r="E24" s="20">
        <v>2</v>
      </c>
      <c r="F24" s="21" t="s">
        <v>60</v>
      </c>
      <c r="G24" s="22" t="s">
        <v>116</v>
      </c>
      <c r="H24" s="27" t="s">
        <v>23</v>
      </c>
    </row>
    <row r="25" spans="1:8" ht="30" customHeight="1" x14ac:dyDescent="0.2">
      <c r="A25" s="17" t="s">
        <v>89</v>
      </c>
      <c r="B25" s="17" t="s">
        <v>90</v>
      </c>
      <c r="C25" s="18" t="s">
        <v>117</v>
      </c>
      <c r="D25" s="19" t="s">
        <v>118</v>
      </c>
      <c r="E25" s="20">
        <v>2</v>
      </c>
      <c r="F25" s="21" t="s">
        <v>60</v>
      </c>
      <c r="G25" s="22" t="s">
        <v>119</v>
      </c>
      <c r="H25" s="27" t="s">
        <v>23</v>
      </c>
    </row>
    <row r="26" spans="1:8" ht="39.75" customHeight="1" x14ac:dyDescent="0.2">
      <c r="A26" s="24" t="s">
        <v>89</v>
      </c>
      <c r="B26" s="24" t="s">
        <v>90</v>
      </c>
      <c r="C26" s="25" t="s">
        <v>120</v>
      </c>
      <c r="D26" s="26" t="s">
        <v>121</v>
      </c>
      <c r="E26" s="20">
        <v>2</v>
      </c>
      <c r="F26" s="21" t="s">
        <v>45</v>
      </c>
      <c r="G26" s="22" t="s">
        <v>122</v>
      </c>
      <c r="H26" s="22" t="s">
        <v>123</v>
      </c>
    </row>
    <row r="27" spans="1:8" ht="30" customHeight="1" x14ac:dyDescent="0.2">
      <c r="A27" s="17" t="s">
        <v>89</v>
      </c>
      <c r="B27" s="17" t="s">
        <v>90</v>
      </c>
      <c r="C27" s="18" t="s">
        <v>124</v>
      </c>
      <c r="D27" s="19" t="s">
        <v>125</v>
      </c>
      <c r="E27" s="20">
        <v>2</v>
      </c>
      <c r="F27" s="21" t="s">
        <v>60</v>
      </c>
      <c r="G27" s="22" t="s">
        <v>126</v>
      </c>
      <c r="H27" s="27" t="s">
        <v>23</v>
      </c>
    </row>
    <row r="28" spans="1:8" ht="30" customHeight="1" x14ac:dyDescent="0.2">
      <c r="A28" s="24" t="s">
        <v>89</v>
      </c>
      <c r="B28" s="24" t="s">
        <v>90</v>
      </c>
      <c r="C28" s="25" t="s">
        <v>127</v>
      </c>
      <c r="D28" s="26" t="s">
        <v>128</v>
      </c>
      <c r="E28" s="30">
        <v>3</v>
      </c>
      <c r="F28" s="21" t="s">
        <v>45</v>
      </c>
      <c r="G28" s="22" t="s">
        <v>129</v>
      </c>
      <c r="H28" s="22" t="s">
        <v>85</v>
      </c>
    </row>
    <row r="29" spans="1:8" ht="18" customHeight="1" x14ac:dyDescent="0.2">
      <c r="A29" s="16" t="s">
        <v>130</v>
      </c>
      <c r="B29" s="16" t="s">
        <v>131</v>
      </c>
      <c r="C29" s="16"/>
      <c r="D29" s="16"/>
      <c r="E29" s="16"/>
      <c r="F29" s="16"/>
      <c r="G29" s="22"/>
      <c r="H29" s="22"/>
    </row>
    <row r="30" spans="1:8" ht="30" customHeight="1" x14ac:dyDescent="0.2">
      <c r="A30" s="17" t="s">
        <v>130</v>
      </c>
      <c r="B30" s="17" t="s">
        <v>131</v>
      </c>
      <c r="C30" s="18" t="s">
        <v>132</v>
      </c>
      <c r="D30" s="19" t="s">
        <v>133</v>
      </c>
      <c r="E30" s="20">
        <v>2</v>
      </c>
      <c r="F30" s="21" t="s">
        <v>60</v>
      </c>
      <c r="G30" s="22" t="s">
        <v>134</v>
      </c>
      <c r="H30" s="27" t="s">
        <v>23</v>
      </c>
    </row>
    <row r="31" spans="1:8" ht="30" customHeight="1" x14ac:dyDescent="0.2">
      <c r="A31" s="24" t="s">
        <v>130</v>
      </c>
      <c r="B31" s="24" t="s">
        <v>131</v>
      </c>
      <c r="C31" s="25" t="s">
        <v>135</v>
      </c>
      <c r="D31" s="26" t="s">
        <v>136</v>
      </c>
      <c r="E31" s="20">
        <v>2</v>
      </c>
      <c r="F31" s="21" t="s">
        <v>60</v>
      </c>
      <c r="G31" s="22" t="s">
        <v>137</v>
      </c>
      <c r="H31" s="27" t="s">
        <v>23</v>
      </c>
    </row>
    <row r="32" spans="1:8" ht="30" customHeight="1" x14ac:dyDescent="0.2">
      <c r="A32" s="17" t="s">
        <v>130</v>
      </c>
      <c r="B32" s="17" t="s">
        <v>131</v>
      </c>
      <c r="C32" s="18" t="s">
        <v>138</v>
      </c>
      <c r="D32" s="19" t="s">
        <v>139</v>
      </c>
      <c r="E32" s="20">
        <v>2</v>
      </c>
      <c r="F32" s="21" t="s">
        <v>60</v>
      </c>
      <c r="G32" s="22" t="s">
        <v>140</v>
      </c>
      <c r="H32" s="27" t="s">
        <v>23</v>
      </c>
    </row>
    <row r="33" spans="1:8" ht="18" customHeight="1" x14ac:dyDescent="0.2">
      <c r="A33" s="16" t="s">
        <v>141</v>
      </c>
      <c r="B33" s="16" t="s">
        <v>142</v>
      </c>
      <c r="C33" s="16"/>
      <c r="D33" s="16"/>
      <c r="E33" s="16"/>
      <c r="F33" s="16"/>
      <c r="G33" s="22"/>
      <c r="H33" s="22"/>
    </row>
    <row r="34" spans="1:8" ht="30" customHeight="1" x14ac:dyDescent="0.2">
      <c r="A34" s="17" t="s">
        <v>141</v>
      </c>
      <c r="B34" s="17" t="s">
        <v>142</v>
      </c>
      <c r="C34" s="18" t="s">
        <v>143</v>
      </c>
      <c r="D34" s="19" t="s">
        <v>144</v>
      </c>
      <c r="E34" s="29">
        <v>1</v>
      </c>
      <c r="F34" s="21" t="s">
        <v>45</v>
      </c>
      <c r="G34" s="22" t="s">
        <v>145</v>
      </c>
      <c r="H34" s="22" t="s">
        <v>146</v>
      </c>
    </row>
    <row r="35" spans="1:8" ht="30" customHeight="1" x14ac:dyDescent="0.2">
      <c r="A35" s="24" t="s">
        <v>141</v>
      </c>
      <c r="B35" s="24" t="s">
        <v>142</v>
      </c>
      <c r="C35" s="25" t="s">
        <v>147</v>
      </c>
      <c r="D35" s="26" t="s">
        <v>148</v>
      </c>
      <c r="E35" s="20">
        <v>2</v>
      </c>
      <c r="F35" s="21" t="s">
        <v>45</v>
      </c>
      <c r="G35" s="22" t="s">
        <v>149</v>
      </c>
      <c r="H35" s="22" t="s">
        <v>150</v>
      </c>
    </row>
    <row r="36" spans="1:8" ht="30" customHeight="1" x14ac:dyDescent="0.2">
      <c r="A36" s="17" t="s">
        <v>141</v>
      </c>
      <c r="B36" s="17" t="s">
        <v>142</v>
      </c>
      <c r="C36" s="18" t="s">
        <v>151</v>
      </c>
      <c r="D36" s="19" t="s">
        <v>152</v>
      </c>
      <c r="E36" s="30">
        <v>3</v>
      </c>
      <c r="F36" s="21" t="s">
        <v>45</v>
      </c>
      <c r="G36" s="22" t="s">
        <v>153</v>
      </c>
      <c r="H36" s="22" t="s">
        <v>154</v>
      </c>
    </row>
  </sheetData>
  <conditionalFormatting sqref="F2:F36">
    <cfRule type="cellIs" dxfId="50" priority="2" operator="equal">
      <formula>"Compliant"</formula>
    </cfRule>
    <cfRule type="cellIs" dxfId="49" priority="3" operator="equal">
      <formula>"In Progress"</formula>
    </cfRule>
    <cfRule type="cellIs" dxfId="48"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Normal="100" workbookViewId="0">
      <pane ySplit="1" topLeftCell="A7" activePane="bottomLeft" state="frozen"/>
      <selection activeCell="C1" sqref="C1"/>
      <selection pane="bottomLeft" activeCell="F17" sqref="F17"/>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8.33203125" customWidth="1"/>
    <col min="8" max="8" width="35" customWidth="1"/>
  </cols>
  <sheetData>
    <row r="1" spans="1:8" x14ac:dyDescent="0.2">
      <c r="A1" s="15" t="s">
        <v>33</v>
      </c>
      <c r="B1" s="15" t="s">
        <v>34</v>
      </c>
      <c r="C1" s="15" t="s">
        <v>35</v>
      </c>
      <c r="D1" s="15" t="s">
        <v>36</v>
      </c>
      <c r="E1" s="15" t="s">
        <v>37</v>
      </c>
      <c r="F1" s="15" t="s">
        <v>38</v>
      </c>
      <c r="G1" s="15" t="s">
        <v>39</v>
      </c>
      <c r="H1" s="15" t="s">
        <v>40</v>
      </c>
    </row>
    <row r="2" spans="1:8" x14ac:dyDescent="0.2">
      <c r="A2" s="16" t="s">
        <v>155</v>
      </c>
      <c r="B2" s="16" t="s">
        <v>156</v>
      </c>
      <c r="C2" s="16"/>
      <c r="D2" s="16"/>
      <c r="E2" s="16"/>
      <c r="F2" s="16"/>
      <c r="G2" s="16"/>
      <c r="H2" s="16"/>
    </row>
    <row r="3" spans="1:8" ht="64" x14ac:dyDescent="0.2">
      <c r="A3" s="17" t="s">
        <v>155</v>
      </c>
      <c r="B3" s="17" t="s">
        <v>156</v>
      </c>
      <c r="C3" s="18" t="s">
        <v>157</v>
      </c>
      <c r="D3" s="19" t="s">
        <v>158</v>
      </c>
      <c r="E3" s="29">
        <v>1</v>
      </c>
      <c r="F3" s="21" t="s">
        <v>45</v>
      </c>
      <c r="G3" s="22" t="s">
        <v>159</v>
      </c>
      <c r="H3" s="22" t="s">
        <v>160</v>
      </c>
    </row>
    <row r="4" spans="1:8" ht="48" x14ac:dyDescent="0.2">
      <c r="A4" s="24" t="s">
        <v>155</v>
      </c>
      <c r="B4" s="24" t="s">
        <v>156</v>
      </c>
      <c r="C4" s="25" t="s">
        <v>161</v>
      </c>
      <c r="D4" s="26" t="s">
        <v>162</v>
      </c>
      <c r="E4" s="20">
        <v>2</v>
      </c>
      <c r="F4" s="21" t="s">
        <v>45</v>
      </c>
      <c r="G4" s="27" t="s">
        <v>163</v>
      </c>
      <c r="H4" s="23" t="s">
        <v>164</v>
      </c>
    </row>
    <row r="5" spans="1:8" ht="48" x14ac:dyDescent="0.2">
      <c r="A5" s="17" t="s">
        <v>155</v>
      </c>
      <c r="B5" s="17" t="s">
        <v>156</v>
      </c>
      <c r="C5" s="18" t="s">
        <v>165</v>
      </c>
      <c r="D5" s="19" t="s">
        <v>166</v>
      </c>
      <c r="E5" s="20">
        <v>2</v>
      </c>
      <c r="F5" s="21" t="s">
        <v>45</v>
      </c>
      <c r="G5" s="22" t="s">
        <v>167</v>
      </c>
      <c r="H5" s="22" t="s">
        <v>168</v>
      </c>
    </row>
    <row r="6" spans="1:8" x14ac:dyDescent="0.2">
      <c r="A6" s="16" t="s">
        <v>169</v>
      </c>
      <c r="B6" s="16" t="s">
        <v>170</v>
      </c>
      <c r="C6" s="16"/>
      <c r="D6" s="16"/>
      <c r="E6" s="16"/>
      <c r="F6" s="16"/>
      <c r="G6" s="28"/>
      <c r="H6" s="28"/>
    </row>
    <row r="7" spans="1:8" ht="96" x14ac:dyDescent="0.2">
      <c r="A7" s="17" t="s">
        <v>169</v>
      </c>
      <c r="B7" s="17" t="s">
        <v>170</v>
      </c>
      <c r="C7" s="18" t="s">
        <v>171</v>
      </c>
      <c r="D7" s="19" t="s">
        <v>172</v>
      </c>
      <c r="E7" s="29">
        <v>1</v>
      </c>
      <c r="F7" s="21" t="s">
        <v>45</v>
      </c>
      <c r="G7" s="22" t="s">
        <v>173</v>
      </c>
      <c r="H7" s="22" t="s">
        <v>174</v>
      </c>
    </row>
    <row r="8" spans="1:8" ht="48" x14ac:dyDescent="0.2">
      <c r="A8" s="24" t="s">
        <v>169</v>
      </c>
      <c r="B8" s="24" t="s">
        <v>170</v>
      </c>
      <c r="C8" s="25" t="s">
        <v>175</v>
      </c>
      <c r="D8" s="26" t="s">
        <v>176</v>
      </c>
      <c r="E8" s="29">
        <v>1</v>
      </c>
      <c r="F8" s="21" t="s">
        <v>45</v>
      </c>
      <c r="G8" s="27" t="s">
        <v>177</v>
      </c>
      <c r="H8" s="27" t="s">
        <v>178</v>
      </c>
    </row>
    <row r="9" spans="1:8" ht="64" x14ac:dyDescent="0.2">
      <c r="A9" s="17" t="s">
        <v>169</v>
      </c>
      <c r="B9" s="17" t="s">
        <v>170</v>
      </c>
      <c r="C9" s="18" t="s">
        <v>179</v>
      </c>
      <c r="D9" s="19" t="s">
        <v>180</v>
      </c>
      <c r="E9" s="20">
        <v>2</v>
      </c>
      <c r="F9" s="21" t="s">
        <v>45</v>
      </c>
      <c r="G9" s="22" t="s">
        <v>181</v>
      </c>
      <c r="H9" s="22" t="s">
        <v>182</v>
      </c>
    </row>
    <row r="10" spans="1:8" x14ac:dyDescent="0.2">
      <c r="A10" s="16" t="s">
        <v>183</v>
      </c>
      <c r="B10" s="16" t="s">
        <v>184</v>
      </c>
      <c r="C10" s="16"/>
      <c r="D10" s="16"/>
      <c r="E10" s="16"/>
      <c r="F10" s="16"/>
      <c r="G10" s="28"/>
      <c r="H10" s="28"/>
    </row>
    <row r="11" spans="1:8" ht="32" x14ac:dyDescent="0.2">
      <c r="A11" s="17" t="s">
        <v>183</v>
      </c>
      <c r="B11" s="17" t="s">
        <v>184</v>
      </c>
      <c r="C11" s="18" t="s">
        <v>185</v>
      </c>
      <c r="D11" s="19" t="s">
        <v>186</v>
      </c>
      <c r="E11" s="29">
        <v>1</v>
      </c>
      <c r="F11" s="21" t="s">
        <v>45</v>
      </c>
      <c r="G11" s="22" t="s">
        <v>187</v>
      </c>
      <c r="H11" s="22" t="s">
        <v>164</v>
      </c>
    </row>
    <row r="12" spans="1:8" ht="32" x14ac:dyDescent="0.2">
      <c r="A12" s="24" t="s">
        <v>183</v>
      </c>
      <c r="B12" s="24" t="s">
        <v>184</v>
      </c>
      <c r="C12" s="25" t="s">
        <v>188</v>
      </c>
      <c r="D12" s="26" t="s">
        <v>189</v>
      </c>
      <c r="E12" s="20">
        <v>2</v>
      </c>
      <c r="F12" s="21" t="s">
        <v>45</v>
      </c>
      <c r="G12" s="27" t="s">
        <v>190</v>
      </c>
      <c r="H12" s="31" t="s">
        <v>191</v>
      </c>
    </row>
    <row r="13" spans="1:8" ht="48" x14ac:dyDescent="0.2">
      <c r="A13" s="17" t="s">
        <v>183</v>
      </c>
      <c r="B13" s="17" t="s">
        <v>184</v>
      </c>
      <c r="C13" s="18" t="s">
        <v>192</v>
      </c>
      <c r="D13" s="19" t="s">
        <v>193</v>
      </c>
      <c r="E13" s="20">
        <v>2</v>
      </c>
      <c r="F13" s="21" t="s">
        <v>45</v>
      </c>
      <c r="G13" s="22" t="s">
        <v>194</v>
      </c>
      <c r="H13" s="22" t="s">
        <v>123</v>
      </c>
    </row>
    <row r="14" spans="1:8" ht="48" x14ac:dyDescent="0.2">
      <c r="A14" s="24" t="s">
        <v>183</v>
      </c>
      <c r="B14" s="24" t="s">
        <v>184</v>
      </c>
      <c r="C14" s="25" t="s">
        <v>195</v>
      </c>
      <c r="D14" s="26" t="s">
        <v>196</v>
      </c>
      <c r="E14" s="20">
        <v>2</v>
      </c>
      <c r="F14" s="21" t="s">
        <v>60</v>
      </c>
      <c r="G14" s="27" t="s">
        <v>197</v>
      </c>
      <c r="H14" s="27" t="s">
        <v>23</v>
      </c>
    </row>
    <row r="15" spans="1:8" ht="64" x14ac:dyDescent="0.2">
      <c r="A15" s="17" t="s">
        <v>183</v>
      </c>
      <c r="B15" s="17" t="s">
        <v>184</v>
      </c>
      <c r="C15" s="18" t="s">
        <v>198</v>
      </c>
      <c r="D15" s="19" t="s">
        <v>199</v>
      </c>
      <c r="E15" s="30">
        <v>3</v>
      </c>
      <c r="F15" s="21" t="s">
        <v>60</v>
      </c>
      <c r="G15" s="22" t="s">
        <v>200</v>
      </c>
      <c r="H15" s="22" t="s">
        <v>23</v>
      </c>
    </row>
    <row r="16" spans="1:8" x14ac:dyDescent="0.2">
      <c r="A16" s="16" t="s">
        <v>201</v>
      </c>
      <c r="B16" s="16" t="s">
        <v>202</v>
      </c>
      <c r="C16" s="16"/>
      <c r="D16" s="16"/>
      <c r="E16" s="16"/>
      <c r="F16" s="16"/>
      <c r="G16" s="28"/>
      <c r="H16" s="28"/>
    </row>
    <row r="17" spans="1:8" ht="64" x14ac:dyDescent="0.2">
      <c r="A17" s="17" t="s">
        <v>201</v>
      </c>
      <c r="B17" s="17" t="s">
        <v>202</v>
      </c>
      <c r="C17" s="18" t="s">
        <v>203</v>
      </c>
      <c r="D17" s="19" t="s">
        <v>204</v>
      </c>
      <c r="E17" s="20">
        <v>2</v>
      </c>
      <c r="F17" s="21" t="s">
        <v>45</v>
      </c>
      <c r="G17" s="31" t="s">
        <v>1155</v>
      </c>
      <c r="H17" s="22" t="s">
        <v>206</v>
      </c>
    </row>
    <row r="18" spans="1:8" ht="32" x14ac:dyDescent="0.2">
      <c r="A18" s="24" t="s">
        <v>201</v>
      </c>
      <c r="B18" s="24" t="s">
        <v>202</v>
      </c>
      <c r="C18" s="25" t="s">
        <v>207</v>
      </c>
      <c r="D18" s="26" t="s">
        <v>208</v>
      </c>
      <c r="E18" s="30">
        <v>3</v>
      </c>
      <c r="F18" s="21" t="s">
        <v>60</v>
      </c>
      <c r="G18" s="27" t="s">
        <v>209</v>
      </c>
      <c r="H18" s="27" t="s">
        <v>23</v>
      </c>
    </row>
  </sheetData>
  <conditionalFormatting sqref="F2:F18">
    <cfRule type="cellIs" dxfId="47" priority="2" operator="equal">
      <formula>"Compliant"</formula>
    </cfRule>
    <cfRule type="cellIs" dxfId="46" priority="3" operator="equal">
      <formula>"In Progress"</formula>
    </cfRule>
    <cfRule type="cellIs" dxfId="45"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Normal="100" workbookViewId="0">
      <pane ySplit="1" topLeftCell="A25" activePane="bottomLeft" state="frozen"/>
      <selection pane="bottomLeft" activeCell="I29" sqref="I2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54.5" customWidth="1"/>
    <col min="8" max="8" width="35" customWidth="1"/>
  </cols>
  <sheetData>
    <row r="1" spans="1:8" ht="27.75" customHeight="1" x14ac:dyDescent="0.2">
      <c r="A1" s="15" t="s">
        <v>33</v>
      </c>
      <c r="B1" s="15" t="s">
        <v>34</v>
      </c>
      <c r="C1" s="15" t="s">
        <v>35</v>
      </c>
      <c r="D1" s="15" t="s">
        <v>36</v>
      </c>
      <c r="E1" s="15" t="s">
        <v>37</v>
      </c>
      <c r="F1" s="15" t="s">
        <v>38</v>
      </c>
      <c r="G1" s="15" t="s">
        <v>39</v>
      </c>
      <c r="H1" s="15" t="s">
        <v>40</v>
      </c>
    </row>
    <row r="2" spans="1:8" ht="18" customHeight="1" x14ac:dyDescent="0.2">
      <c r="A2" s="16" t="s">
        <v>210</v>
      </c>
      <c r="B2" s="16" t="s">
        <v>211</v>
      </c>
      <c r="C2" s="16"/>
      <c r="D2" s="16"/>
      <c r="E2" s="16"/>
      <c r="F2" s="16"/>
      <c r="G2" s="16"/>
      <c r="H2" s="16"/>
    </row>
    <row r="3" spans="1:8" ht="54.75" customHeight="1" x14ac:dyDescent="0.2">
      <c r="A3" s="17" t="s">
        <v>210</v>
      </c>
      <c r="B3" s="17" t="s">
        <v>211</v>
      </c>
      <c r="C3" s="18" t="s">
        <v>212</v>
      </c>
      <c r="D3" s="19" t="s">
        <v>213</v>
      </c>
      <c r="E3" s="30">
        <v>3</v>
      </c>
      <c r="F3" s="21" t="s">
        <v>60</v>
      </c>
      <c r="G3" s="32" t="s">
        <v>214</v>
      </c>
      <c r="H3" s="32" t="s">
        <v>23</v>
      </c>
    </row>
    <row r="4" spans="1:8" ht="18" customHeight="1" x14ac:dyDescent="0.2">
      <c r="A4" s="16" t="s">
        <v>215</v>
      </c>
      <c r="B4" s="16" t="s">
        <v>216</v>
      </c>
      <c r="C4" s="16"/>
      <c r="D4" s="16"/>
      <c r="E4" s="16"/>
      <c r="F4" s="16"/>
      <c r="G4" s="33"/>
      <c r="H4" s="16"/>
    </row>
    <row r="5" spans="1:8" ht="27" customHeight="1" x14ac:dyDescent="0.2">
      <c r="A5" s="17" t="s">
        <v>215</v>
      </c>
      <c r="B5" s="17" t="s">
        <v>216</v>
      </c>
      <c r="C5" s="18" t="s">
        <v>217</v>
      </c>
      <c r="D5" s="19" t="s">
        <v>218</v>
      </c>
      <c r="E5" s="29">
        <v>1</v>
      </c>
      <c r="F5" s="21" t="s">
        <v>60</v>
      </c>
      <c r="G5" s="32" t="s">
        <v>219</v>
      </c>
      <c r="H5" s="32" t="s">
        <v>23</v>
      </c>
    </row>
    <row r="6" spans="1:8" ht="23.25" customHeight="1" x14ac:dyDescent="0.2">
      <c r="A6" s="24" t="s">
        <v>215</v>
      </c>
      <c r="B6" s="24" t="s">
        <v>216</v>
      </c>
      <c r="C6" s="25" t="s">
        <v>220</v>
      </c>
      <c r="D6" s="26" t="s">
        <v>221</v>
      </c>
      <c r="E6" s="29">
        <v>1</v>
      </c>
      <c r="F6" s="21" t="s">
        <v>60</v>
      </c>
      <c r="G6" s="32" t="s">
        <v>222</v>
      </c>
      <c r="H6" s="32" t="s">
        <v>23</v>
      </c>
    </row>
    <row r="7" spans="1:8" ht="21" customHeight="1" x14ac:dyDescent="0.2">
      <c r="A7" s="17" t="s">
        <v>215</v>
      </c>
      <c r="B7" s="17" t="s">
        <v>216</v>
      </c>
      <c r="C7" s="18" t="s">
        <v>223</v>
      </c>
      <c r="D7" s="19" t="s">
        <v>224</v>
      </c>
      <c r="E7" s="30">
        <v>3</v>
      </c>
      <c r="F7" s="21" t="s">
        <v>60</v>
      </c>
      <c r="G7" s="32" t="s">
        <v>225</v>
      </c>
      <c r="H7" s="32" t="s">
        <v>23</v>
      </c>
    </row>
    <row r="8" spans="1:8" ht="18" customHeight="1" x14ac:dyDescent="0.2">
      <c r="A8" s="16" t="s">
        <v>226</v>
      </c>
      <c r="B8" s="16" t="s">
        <v>227</v>
      </c>
      <c r="C8" s="16"/>
      <c r="D8" s="16"/>
      <c r="E8" s="16"/>
      <c r="F8" s="16"/>
      <c r="G8" s="33"/>
      <c r="H8" s="16"/>
    </row>
    <row r="9" spans="1:8" ht="18" customHeight="1" x14ac:dyDescent="0.2">
      <c r="A9" s="17" t="s">
        <v>226</v>
      </c>
      <c r="B9" s="17" t="s">
        <v>227</v>
      </c>
      <c r="C9" s="18" t="s">
        <v>228</v>
      </c>
      <c r="D9" s="19" t="s">
        <v>229</v>
      </c>
      <c r="E9" s="29">
        <v>1</v>
      </c>
      <c r="F9" s="21" t="s">
        <v>60</v>
      </c>
      <c r="G9" s="32" t="s">
        <v>230</v>
      </c>
      <c r="H9" s="32" t="s">
        <v>23</v>
      </c>
    </row>
    <row r="10" spans="1:8" ht="21" customHeight="1" x14ac:dyDescent="0.2">
      <c r="A10" s="24" t="s">
        <v>226</v>
      </c>
      <c r="B10" s="24" t="s">
        <v>227</v>
      </c>
      <c r="C10" s="25" t="s">
        <v>231</v>
      </c>
      <c r="D10" s="26" t="s">
        <v>232</v>
      </c>
      <c r="E10" s="20">
        <v>2</v>
      </c>
      <c r="F10" s="21" t="s">
        <v>60</v>
      </c>
      <c r="G10" s="32" t="s">
        <v>233</v>
      </c>
      <c r="H10" s="32" t="s">
        <v>23</v>
      </c>
    </row>
    <row r="11" spans="1:8" ht="30" customHeight="1" x14ac:dyDescent="0.2">
      <c r="A11" s="17" t="s">
        <v>226</v>
      </c>
      <c r="B11" s="17" t="s">
        <v>227</v>
      </c>
      <c r="C11" s="18" t="s">
        <v>234</v>
      </c>
      <c r="D11" s="19" t="s">
        <v>235</v>
      </c>
      <c r="E11" s="20">
        <v>2</v>
      </c>
      <c r="F11" s="21" t="s">
        <v>60</v>
      </c>
      <c r="G11" s="32" t="s">
        <v>233</v>
      </c>
      <c r="H11" s="32" t="s">
        <v>23</v>
      </c>
    </row>
    <row r="12" spans="1:8" ht="30" customHeight="1" x14ac:dyDescent="0.2">
      <c r="A12" s="24" t="s">
        <v>226</v>
      </c>
      <c r="B12" s="24" t="s">
        <v>227</v>
      </c>
      <c r="C12" s="25" t="s">
        <v>236</v>
      </c>
      <c r="D12" s="26" t="s">
        <v>237</v>
      </c>
      <c r="E12" s="20">
        <v>2</v>
      </c>
      <c r="F12" s="21" t="s">
        <v>60</v>
      </c>
      <c r="G12" s="32" t="s">
        <v>233</v>
      </c>
      <c r="H12" s="32" t="s">
        <v>23</v>
      </c>
    </row>
    <row r="13" spans="1:8" ht="30" customHeight="1" x14ac:dyDescent="0.2">
      <c r="A13" s="17" t="s">
        <v>226</v>
      </c>
      <c r="B13" s="17" t="s">
        <v>227</v>
      </c>
      <c r="C13" s="18" t="s">
        <v>238</v>
      </c>
      <c r="D13" s="19" t="s">
        <v>239</v>
      </c>
      <c r="E13" s="30">
        <v>3</v>
      </c>
      <c r="F13" s="21" t="s">
        <v>60</v>
      </c>
      <c r="G13" s="32" t="s">
        <v>233</v>
      </c>
      <c r="H13" s="32" t="s">
        <v>23</v>
      </c>
    </row>
    <row r="14" spans="1:8" ht="18" customHeight="1" x14ac:dyDescent="0.2">
      <c r="A14" s="16" t="s">
        <v>240</v>
      </c>
      <c r="B14" s="16" t="s">
        <v>241</v>
      </c>
      <c r="C14" s="16"/>
      <c r="D14" s="16"/>
      <c r="E14" s="16"/>
      <c r="F14" s="16"/>
      <c r="G14" s="33"/>
      <c r="H14" s="16"/>
    </row>
    <row r="15" spans="1:8" ht="30" customHeight="1" x14ac:dyDescent="0.2">
      <c r="A15" s="17" t="s">
        <v>240</v>
      </c>
      <c r="B15" s="17" t="s">
        <v>241</v>
      </c>
      <c r="C15" s="18" t="s">
        <v>242</v>
      </c>
      <c r="D15" s="19" t="s">
        <v>243</v>
      </c>
      <c r="E15" s="29">
        <v>1</v>
      </c>
      <c r="F15" s="21" t="s">
        <v>60</v>
      </c>
      <c r="G15" s="32" t="s">
        <v>244</v>
      </c>
      <c r="H15" s="32" t="s">
        <v>23</v>
      </c>
    </row>
    <row r="16" spans="1:8" ht="30" customHeight="1" x14ac:dyDescent="0.2">
      <c r="A16" s="24" t="s">
        <v>240</v>
      </c>
      <c r="B16" s="24" t="s">
        <v>241</v>
      </c>
      <c r="C16" s="25" t="s">
        <v>245</v>
      </c>
      <c r="D16" s="26" t="s">
        <v>246</v>
      </c>
      <c r="E16" s="29">
        <v>1</v>
      </c>
      <c r="F16" s="21" t="s">
        <v>60</v>
      </c>
      <c r="G16" s="32" t="s">
        <v>247</v>
      </c>
      <c r="H16" s="32" t="s">
        <v>23</v>
      </c>
    </row>
    <row r="17" spans="1:8" ht="30" customHeight="1" x14ac:dyDescent="0.2">
      <c r="A17" s="17" t="s">
        <v>240</v>
      </c>
      <c r="B17" s="17" t="s">
        <v>241</v>
      </c>
      <c r="C17" s="18" t="s">
        <v>248</v>
      </c>
      <c r="D17" s="19" t="s">
        <v>249</v>
      </c>
      <c r="E17" s="20">
        <v>2</v>
      </c>
      <c r="F17" s="21" t="s">
        <v>60</v>
      </c>
      <c r="G17" s="32" t="s">
        <v>250</v>
      </c>
      <c r="H17" s="32" t="s">
        <v>23</v>
      </c>
    </row>
    <row r="18" spans="1:8" ht="30" customHeight="1" x14ac:dyDescent="0.2">
      <c r="A18" s="24" t="s">
        <v>240</v>
      </c>
      <c r="B18" s="24" t="s">
        <v>241</v>
      </c>
      <c r="C18" s="25" t="s">
        <v>251</v>
      </c>
      <c r="D18" s="26" t="s">
        <v>252</v>
      </c>
      <c r="E18" s="20">
        <v>2</v>
      </c>
      <c r="F18" s="21" t="s">
        <v>60</v>
      </c>
      <c r="G18" s="32" t="s">
        <v>253</v>
      </c>
      <c r="H18" s="32" t="s">
        <v>23</v>
      </c>
    </row>
    <row r="19" spans="1:8" ht="30" customHeight="1" x14ac:dyDescent="0.2">
      <c r="A19" s="17" t="s">
        <v>240</v>
      </c>
      <c r="B19" s="17" t="s">
        <v>241</v>
      </c>
      <c r="C19" s="18" t="s">
        <v>254</v>
      </c>
      <c r="D19" s="19" t="s">
        <v>255</v>
      </c>
      <c r="E19" s="20">
        <v>2</v>
      </c>
      <c r="F19" s="21" t="s">
        <v>60</v>
      </c>
      <c r="G19" s="32" t="s">
        <v>256</v>
      </c>
      <c r="H19" s="32" t="s">
        <v>23</v>
      </c>
    </row>
    <row r="20" spans="1:8" ht="30" customHeight="1" x14ac:dyDescent="0.2">
      <c r="A20" s="24" t="s">
        <v>240</v>
      </c>
      <c r="B20" s="24" t="s">
        <v>241</v>
      </c>
      <c r="C20" s="25" t="s">
        <v>257</v>
      </c>
      <c r="D20" s="26" t="s">
        <v>258</v>
      </c>
      <c r="E20" s="20">
        <v>2</v>
      </c>
      <c r="F20" s="21" t="s">
        <v>60</v>
      </c>
      <c r="G20" s="32" t="s">
        <v>259</v>
      </c>
      <c r="H20" s="32" t="s">
        <v>23</v>
      </c>
    </row>
    <row r="21" spans="1:8" ht="30" customHeight="1" x14ac:dyDescent="0.2">
      <c r="A21" s="17" t="s">
        <v>240</v>
      </c>
      <c r="B21" s="17" t="s">
        <v>241</v>
      </c>
      <c r="C21" s="18" t="s">
        <v>260</v>
      </c>
      <c r="D21" s="19" t="s">
        <v>261</v>
      </c>
      <c r="E21" s="30">
        <v>3</v>
      </c>
      <c r="F21" s="21" t="s">
        <v>60</v>
      </c>
      <c r="G21" s="32" t="s">
        <v>262</v>
      </c>
      <c r="H21" s="32" t="s">
        <v>23</v>
      </c>
    </row>
    <row r="22" spans="1:8" ht="30" customHeight="1" x14ac:dyDescent="0.2">
      <c r="A22" s="24" t="s">
        <v>240</v>
      </c>
      <c r="B22" s="24" t="s">
        <v>241</v>
      </c>
      <c r="C22" s="25" t="s">
        <v>263</v>
      </c>
      <c r="D22" s="26" t="s">
        <v>264</v>
      </c>
      <c r="E22" s="30">
        <v>3</v>
      </c>
      <c r="F22" s="21" t="s">
        <v>60</v>
      </c>
      <c r="G22" s="32" t="s">
        <v>265</v>
      </c>
      <c r="H22" s="32" t="s">
        <v>23</v>
      </c>
    </row>
    <row r="23" spans="1:8" ht="18" customHeight="1" x14ac:dyDescent="0.2">
      <c r="A23" s="16" t="s">
        <v>266</v>
      </c>
      <c r="B23" s="16" t="s">
        <v>267</v>
      </c>
      <c r="C23" s="16"/>
      <c r="D23" s="16"/>
      <c r="E23" s="16"/>
      <c r="F23" s="16"/>
      <c r="G23" s="33"/>
      <c r="H23" s="16"/>
    </row>
    <row r="24" spans="1:8" ht="30" customHeight="1" x14ac:dyDescent="0.2">
      <c r="A24" s="17" t="s">
        <v>266</v>
      </c>
      <c r="B24" s="17" t="s">
        <v>267</v>
      </c>
      <c r="C24" s="18" t="s">
        <v>268</v>
      </c>
      <c r="D24" s="19" t="s">
        <v>269</v>
      </c>
      <c r="E24" s="29">
        <v>1</v>
      </c>
      <c r="F24" s="21" t="s">
        <v>60</v>
      </c>
      <c r="G24" s="32" t="s">
        <v>270</v>
      </c>
      <c r="H24" s="32" t="s">
        <v>23</v>
      </c>
    </row>
    <row r="25" spans="1:8" ht="30" customHeight="1" x14ac:dyDescent="0.2">
      <c r="A25" s="24" t="s">
        <v>266</v>
      </c>
      <c r="B25" s="24" t="s">
        <v>267</v>
      </c>
      <c r="C25" s="25" t="s">
        <v>271</v>
      </c>
      <c r="D25" s="26" t="s">
        <v>272</v>
      </c>
      <c r="E25" s="29">
        <v>1</v>
      </c>
      <c r="F25" s="21" t="s">
        <v>60</v>
      </c>
      <c r="G25" s="32" t="s">
        <v>273</v>
      </c>
      <c r="H25" s="32" t="s">
        <v>23</v>
      </c>
    </row>
    <row r="26" spans="1:8" ht="30" customHeight="1" x14ac:dyDescent="0.2">
      <c r="A26" s="17" t="s">
        <v>266</v>
      </c>
      <c r="B26" s="17" t="s">
        <v>267</v>
      </c>
      <c r="C26" s="18" t="s">
        <v>274</v>
      </c>
      <c r="D26" s="19" t="s">
        <v>275</v>
      </c>
      <c r="E26" s="29">
        <v>1</v>
      </c>
      <c r="F26" s="21" t="s">
        <v>45</v>
      </c>
      <c r="G26" s="32" t="s">
        <v>276</v>
      </c>
      <c r="H26" s="32" t="s">
        <v>23</v>
      </c>
    </row>
    <row r="27" spans="1:8" ht="30" customHeight="1" x14ac:dyDescent="0.2">
      <c r="A27" s="24" t="s">
        <v>266</v>
      </c>
      <c r="B27" s="24" t="s">
        <v>267</v>
      </c>
      <c r="C27" s="25" t="s">
        <v>277</v>
      </c>
      <c r="D27" s="26" t="s">
        <v>278</v>
      </c>
      <c r="E27" s="20">
        <v>2</v>
      </c>
      <c r="F27" s="21" t="s">
        <v>60</v>
      </c>
      <c r="G27" s="32" t="s">
        <v>279</v>
      </c>
      <c r="H27" s="32" t="s">
        <v>23</v>
      </c>
    </row>
    <row r="28" spans="1:8" ht="30" customHeight="1" x14ac:dyDescent="0.2">
      <c r="A28" s="17" t="s">
        <v>266</v>
      </c>
      <c r="B28" s="17" t="s">
        <v>267</v>
      </c>
      <c r="C28" s="18" t="s">
        <v>280</v>
      </c>
      <c r="D28" s="19" t="s">
        <v>281</v>
      </c>
      <c r="E28" s="20">
        <v>2</v>
      </c>
      <c r="F28" s="21" t="s">
        <v>60</v>
      </c>
      <c r="G28" s="32" t="s">
        <v>282</v>
      </c>
      <c r="H28" s="32" t="s">
        <v>23</v>
      </c>
    </row>
    <row r="29" spans="1:8" ht="30" customHeight="1" x14ac:dyDescent="0.2">
      <c r="A29" s="24" t="s">
        <v>266</v>
      </c>
      <c r="B29" s="24" t="s">
        <v>267</v>
      </c>
      <c r="C29" s="25" t="s">
        <v>283</v>
      </c>
      <c r="D29" s="26" t="s">
        <v>284</v>
      </c>
      <c r="E29" s="30">
        <v>3</v>
      </c>
      <c r="F29" s="21" t="s">
        <v>60</v>
      </c>
      <c r="G29" s="32" t="s">
        <v>285</v>
      </c>
      <c r="H29" s="32" t="s">
        <v>23</v>
      </c>
    </row>
    <row r="30" spans="1:8" ht="30" customHeight="1" x14ac:dyDescent="0.2">
      <c r="A30" s="17" t="s">
        <v>266</v>
      </c>
      <c r="B30" s="17" t="s">
        <v>267</v>
      </c>
      <c r="C30" s="18" t="s">
        <v>286</v>
      </c>
      <c r="D30" s="19" t="s">
        <v>287</v>
      </c>
      <c r="E30" s="30">
        <v>3</v>
      </c>
      <c r="F30" s="21" t="s">
        <v>60</v>
      </c>
      <c r="G30" s="32" t="s">
        <v>288</v>
      </c>
      <c r="H30" s="32" t="s">
        <v>23</v>
      </c>
    </row>
    <row r="31" spans="1:8" ht="30" customHeight="1" x14ac:dyDescent="0.2">
      <c r="A31" s="24" t="s">
        <v>266</v>
      </c>
      <c r="B31" s="24" t="s">
        <v>267</v>
      </c>
      <c r="C31" s="25" t="s">
        <v>289</v>
      </c>
      <c r="D31" s="26" t="s">
        <v>290</v>
      </c>
      <c r="E31" s="30">
        <v>3</v>
      </c>
      <c r="F31" s="21" t="s">
        <v>60</v>
      </c>
      <c r="G31" s="32" t="s">
        <v>291</v>
      </c>
      <c r="H31" s="32" t="s">
        <v>23</v>
      </c>
    </row>
    <row r="32" spans="1:8" ht="18" customHeight="1" x14ac:dyDescent="0.2">
      <c r="A32" s="16" t="s">
        <v>292</v>
      </c>
      <c r="B32" s="16" t="s">
        <v>293</v>
      </c>
      <c r="C32" s="16"/>
      <c r="D32" s="16"/>
      <c r="E32" s="16"/>
      <c r="F32" s="16"/>
      <c r="G32" s="33"/>
      <c r="H32" s="16"/>
    </row>
    <row r="33" spans="1:8" ht="30" customHeight="1" x14ac:dyDescent="0.2">
      <c r="A33" s="17" t="s">
        <v>292</v>
      </c>
      <c r="B33" s="17" t="s">
        <v>293</v>
      </c>
      <c r="C33" s="18" t="s">
        <v>294</v>
      </c>
      <c r="D33" s="19" t="s">
        <v>295</v>
      </c>
      <c r="E33" s="30">
        <v>3</v>
      </c>
      <c r="F33" s="21" t="s">
        <v>60</v>
      </c>
      <c r="G33" s="32" t="s">
        <v>296</v>
      </c>
      <c r="H33" s="32" t="s">
        <v>23</v>
      </c>
    </row>
    <row r="34" spans="1:8" ht="18" customHeight="1" x14ac:dyDescent="0.2">
      <c r="A34" s="16" t="s">
        <v>297</v>
      </c>
      <c r="B34" s="16" t="s">
        <v>298</v>
      </c>
      <c r="C34" s="16"/>
      <c r="D34" s="16"/>
      <c r="E34" s="16"/>
      <c r="F34" s="16"/>
      <c r="G34" s="33"/>
      <c r="H34" s="16"/>
    </row>
    <row r="35" spans="1:8" ht="30" customHeight="1" x14ac:dyDescent="0.2">
      <c r="A35" s="17" t="s">
        <v>297</v>
      </c>
      <c r="B35" s="17" t="s">
        <v>298</v>
      </c>
      <c r="C35" s="18" t="s">
        <v>299</v>
      </c>
      <c r="D35" s="19" t="s">
        <v>300</v>
      </c>
      <c r="E35" s="20">
        <v>2</v>
      </c>
      <c r="F35" s="21" t="s">
        <v>60</v>
      </c>
      <c r="G35" s="32" t="s">
        <v>301</v>
      </c>
      <c r="H35" s="32" t="s">
        <v>23</v>
      </c>
    </row>
    <row r="36" spans="1:8" ht="30" customHeight="1" x14ac:dyDescent="0.2">
      <c r="A36" s="24" t="s">
        <v>297</v>
      </c>
      <c r="B36" s="24" t="s">
        <v>298</v>
      </c>
      <c r="C36" s="25" t="s">
        <v>302</v>
      </c>
      <c r="D36" s="26" t="s">
        <v>303</v>
      </c>
      <c r="E36" s="20">
        <v>2</v>
      </c>
      <c r="F36" s="21" t="s">
        <v>60</v>
      </c>
      <c r="G36" s="32" t="s">
        <v>304</v>
      </c>
      <c r="H36" s="32" t="s">
        <v>23</v>
      </c>
    </row>
    <row r="37" spans="1:8" ht="30" customHeight="1" x14ac:dyDescent="0.2">
      <c r="A37" s="17" t="s">
        <v>297</v>
      </c>
      <c r="B37" s="17" t="s">
        <v>298</v>
      </c>
      <c r="C37" s="18" t="s">
        <v>305</v>
      </c>
      <c r="D37" s="19" t="s">
        <v>306</v>
      </c>
      <c r="E37" s="30">
        <v>3</v>
      </c>
      <c r="F37" s="21" t="s">
        <v>60</v>
      </c>
      <c r="G37" s="32" t="s">
        <v>307</v>
      </c>
      <c r="H37" s="32" t="s">
        <v>23</v>
      </c>
    </row>
    <row r="38" spans="1:8" ht="30" customHeight="1" x14ac:dyDescent="0.2">
      <c r="A38" s="24" t="s">
        <v>297</v>
      </c>
      <c r="B38" s="24" t="s">
        <v>298</v>
      </c>
      <c r="C38" s="25" t="s">
        <v>308</v>
      </c>
      <c r="D38" s="26" t="s">
        <v>309</v>
      </c>
      <c r="E38" s="30">
        <v>3</v>
      </c>
      <c r="F38" s="21" t="s">
        <v>60</v>
      </c>
      <c r="G38" s="32" t="s">
        <v>310</v>
      </c>
      <c r="H38" s="32" t="s">
        <v>23</v>
      </c>
    </row>
    <row r="39" spans="1:8" ht="30" customHeight="1" x14ac:dyDescent="0.2">
      <c r="A39" s="17" t="s">
        <v>297</v>
      </c>
      <c r="B39" s="17" t="s">
        <v>298</v>
      </c>
      <c r="C39" s="18" t="s">
        <v>311</v>
      </c>
      <c r="D39" s="19" t="s">
        <v>312</v>
      </c>
      <c r="E39" s="30">
        <v>3</v>
      </c>
      <c r="F39" s="21" t="s">
        <v>60</v>
      </c>
      <c r="G39" s="32" t="s">
        <v>313</v>
      </c>
      <c r="H39" s="32" t="s">
        <v>23</v>
      </c>
    </row>
  </sheetData>
  <conditionalFormatting sqref="F2:F39">
    <cfRule type="cellIs" dxfId="44" priority="2" operator="equal">
      <formula>"Compliant"</formula>
    </cfRule>
    <cfRule type="cellIs" dxfId="43" priority="3" operator="equal">
      <formula>"In Progress"</formula>
    </cfRule>
    <cfRule type="cellIs" dxfId="42"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Normal="100" workbookViewId="0">
      <pane ySplit="1" topLeftCell="A2" activePane="bottomLeft" state="frozen"/>
      <selection pane="bottomLeft" activeCell="H3" sqref="H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5" t="s">
        <v>33</v>
      </c>
      <c r="B1" s="15" t="s">
        <v>34</v>
      </c>
      <c r="C1" s="15" t="s">
        <v>35</v>
      </c>
      <c r="D1" s="15" t="s">
        <v>36</v>
      </c>
      <c r="E1" s="15" t="s">
        <v>37</v>
      </c>
      <c r="F1" s="15" t="s">
        <v>38</v>
      </c>
      <c r="G1" s="15" t="s">
        <v>39</v>
      </c>
      <c r="H1" s="15" t="s">
        <v>40</v>
      </c>
    </row>
    <row r="2" spans="1:8" ht="18" customHeight="1" x14ac:dyDescent="0.2">
      <c r="A2" s="16" t="s">
        <v>314</v>
      </c>
      <c r="B2" s="16" t="s">
        <v>315</v>
      </c>
      <c r="C2" s="16"/>
      <c r="D2" s="16"/>
      <c r="E2" s="16"/>
      <c r="F2" s="16"/>
      <c r="G2" s="16"/>
      <c r="H2" s="16"/>
    </row>
    <row r="3" spans="1:8" ht="30" customHeight="1" x14ac:dyDescent="0.2">
      <c r="A3" s="17" t="s">
        <v>314</v>
      </c>
      <c r="B3" s="17" t="s">
        <v>315</v>
      </c>
      <c r="C3" s="18" t="s">
        <v>316</v>
      </c>
      <c r="D3" s="19" t="s">
        <v>317</v>
      </c>
      <c r="E3" s="29">
        <v>1</v>
      </c>
      <c r="F3" s="21" t="s">
        <v>45</v>
      </c>
      <c r="G3" s="19" t="s">
        <v>318</v>
      </c>
      <c r="H3" s="19" t="s">
        <v>319</v>
      </c>
    </row>
    <row r="4" spans="1:8" ht="30" customHeight="1" x14ac:dyDescent="0.2">
      <c r="A4" s="24" t="s">
        <v>314</v>
      </c>
      <c r="B4" s="24" t="s">
        <v>315</v>
      </c>
      <c r="C4" s="25" t="s">
        <v>320</v>
      </c>
      <c r="D4" s="26" t="s">
        <v>321</v>
      </c>
      <c r="E4" s="20">
        <v>2</v>
      </c>
      <c r="F4" s="21" t="s">
        <v>205</v>
      </c>
      <c r="G4" s="31" t="s">
        <v>322</v>
      </c>
      <c r="H4" s="31" t="s">
        <v>323</v>
      </c>
    </row>
    <row r="5" spans="1:8" ht="30" customHeight="1" x14ac:dyDescent="0.2">
      <c r="A5" s="17" t="s">
        <v>314</v>
      </c>
      <c r="B5" s="17" t="s">
        <v>315</v>
      </c>
      <c r="C5" s="18" t="s">
        <v>324</v>
      </c>
      <c r="D5" s="19" t="s">
        <v>325</v>
      </c>
      <c r="E5" s="20">
        <v>2</v>
      </c>
      <c r="F5" s="21" t="s">
        <v>60</v>
      </c>
      <c r="G5" s="31" t="s">
        <v>326</v>
      </c>
      <c r="H5" s="19" t="s">
        <v>23</v>
      </c>
    </row>
    <row r="6" spans="1:8" ht="30" customHeight="1" x14ac:dyDescent="0.2">
      <c r="A6" s="24" t="s">
        <v>314</v>
      </c>
      <c r="B6" s="24" t="s">
        <v>315</v>
      </c>
      <c r="C6" s="25" t="s">
        <v>327</v>
      </c>
      <c r="D6" s="26" t="s">
        <v>328</v>
      </c>
      <c r="E6" s="30">
        <v>3</v>
      </c>
      <c r="F6" s="21" t="s">
        <v>205</v>
      </c>
      <c r="G6" s="31" t="s">
        <v>329</v>
      </c>
      <c r="H6" s="31" t="s">
        <v>330</v>
      </c>
    </row>
    <row r="7" spans="1:8" ht="30" customHeight="1" x14ac:dyDescent="0.2">
      <c r="A7" s="17" t="s">
        <v>314</v>
      </c>
      <c r="B7" s="17" t="s">
        <v>315</v>
      </c>
      <c r="C7" s="18" t="s">
        <v>331</v>
      </c>
      <c r="D7" s="19" t="s">
        <v>332</v>
      </c>
      <c r="E7" s="30">
        <v>3</v>
      </c>
      <c r="F7" s="21" t="s">
        <v>60</v>
      </c>
      <c r="G7" s="19" t="s">
        <v>333</v>
      </c>
      <c r="H7" s="19" t="s">
        <v>23</v>
      </c>
    </row>
    <row r="8" spans="1:8" ht="18" customHeight="1" x14ac:dyDescent="0.2">
      <c r="A8" s="16" t="s">
        <v>334</v>
      </c>
      <c r="B8" s="16" t="s">
        <v>335</v>
      </c>
      <c r="C8" s="16"/>
      <c r="D8" s="16"/>
      <c r="E8" s="16"/>
      <c r="F8" s="16"/>
      <c r="G8" s="16"/>
      <c r="H8" s="16"/>
    </row>
    <row r="9" spans="1:8" ht="30" customHeight="1" x14ac:dyDescent="0.2">
      <c r="A9" s="17" t="s">
        <v>334</v>
      </c>
      <c r="B9" s="17" t="s">
        <v>335</v>
      </c>
      <c r="C9" s="18" t="s">
        <v>336</v>
      </c>
      <c r="D9" s="19" t="s">
        <v>337</v>
      </c>
      <c r="E9" s="20">
        <v>2</v>
      </c>
      <c r="F9" s="21" t="s">
        <v>60</v>
      </c>
      <c r="G9" s="31" t="s">
        <v>338</v>
      </c>
      <c r="H9" s="19" t="s">
        <v>23</v>
      </c>
    </row>
    <row r="10" spans="1:8" ht="30" customHeight="1" x14ac:dyDescent="0.2">
      <c r="A10" s="24" t="s">
        <v>334</v>
      </c>
      <c r="B10" s="24" t="s">
        <v>335</v>
      </c>
      <c r="C10" s="25" t="s">
        <v>339</v>
      </c>
      <c r="D10" s="26" t="s">
        <v>340</v>
      </c>
      <c r="E10" s="30">
        <v>3</v>
      </c>
      <c r="F10" s="21" t="s">
        <v>60</v>
      </c>
      <c r="G10" s="26" t="s">
        <v>341</v>
      </c>
      <c r="H10" s="26" t="s">
        <v>342</v>
      </c>
    </row>
    <row r="11" spans="1:8" ht="30" customHeight="1" x14ac:dyDescent="0.2">
      <c r="A11" s="17" t="s">
        <v>334</v>
      </c>
      <c r="B11" s="17" t="s">
        <v>335</v>
      </c>
      <c r="C11" s="18" t="s">
        <v>343</v>
      </c>
      <c r="D11" s="19" t="s">
        <v>344</v>
      </c>
      <c r="E11" s="30">
        <v>3</v>
      </c>
      <c r="F11" s="21" t="s">
        <v>60</v>
      </c>
      <c r="G11" s="26" t="s">
        <v>341</v>
      </c>
      <c r="H11" s="26" t="s">
        <v>342</v>
      </c>
    </row>
    <row r="12" spans="1:8" ht="30" customHeight="1" x14ac:dyDescent="0.2">
      <c r="A12" s="24" t="s">
        <v>334</v>
      </c>
      <c r="B12" s="24" t="s">
        <v>335</v>
      </c>
      <c r="C12" s="25" t="s">
        <v>345</v>
      </c>
      <c r="D12" s="26" t="s">
        <v>346</v>
      </c>
      <c r="E12" s="30">
        <v>3</v>
      </c>
      <c r="F12" s="21" t="s">
        <v>60</v>
      </c>
      <c r="G12" s="26" t="s">
        <v>341</v>
      </c>
      <c r="H12" s="26" t="s">
        <v>342</v>
      </c>
    </row>
    <row r="13" spans="1:8" ht="30" customHeight="1" x14ac:dyDescent="0.2">
      <c r="A13" s="17" t="s">
        <v>334</v>
      </c>
      <c r="B13" s="17" t="s">
        <v>335</v>
      </c>
      <c r="C13" s="18" t="s">
        <v>347</v>
      </c>
      <c r="D13" s="19" t="s">
        <v>348</v>
      </c>
      <c r="E13" s="30">
        <v>3</v>
      </c>
      <c r="F13" s="21" t="s">
        <v>60</v>
      </c>
      <c r="G13" s="26" t="s">
        <v>341</v>
      </c>
      <c r="H13" s="26" t="s">
        <v>342</v>
      </c>
    </row>
    <row r="14" spans="1:8" ht="18" customHeight="1" x14ac:dyDescent="0.2">
      <c r="A14" s="16" t="s">
        <v>349</v>
      </c>
      <c r="B14" s="16" t="s">
        <v>350</v>
      </c>
      <c r="C14" s="16"/>
      <c r="D14" s="16"/>
      <c r="E14" s="16"/>
      <c r="F14" s="16"/>
      <c r="G14" s="16"/>
      <c r="H14" s="16"/>
    </row>
    <row r="15" spans="1:8" ht="30" customHeight="1" x14ac:dyDescent="0.2">
      <c r="A15" s="17" t="s">
        <v>349</v>
      </c>
      <c r="B15" s="17" t="s">
        <v>350</v>
      </c>
      <c r="C15" s="18" t="s">
        <v>351</v>
      </c>
      <c r="D15" s="19" t="s">
        <v>352</v>
      </c>
      <c r="E15" s="20">
        <v>2</v>
      </c>
      <c r="F15" s="21" t="s">
        <v>60</v>
      </c>
      <c r="G15" s="31" t="s">
        <v>353</v>
      </c>
      <c r="H15" s="19" t="s">
        <v>23</v>
      </c>
    </row>
    <row r="16" spans="1:8" ht="30" customHeight="1" x14ac:dyDescent="0.2">
      <c r="A16" s="24" t="s">
        <v>349</v>
      </c>
      <c r="B16" s="24" t="s">
        <v>350</v>
      </c>
      <c r="C16" s="25" t="s">
        <v>354</v>
      </c>
      <c r="D16" s="26" t="s">
        <v>355</v>
      </c>
      <c r="E16" s="20">
        <v>2</v>
      </c>
      <c r="F16" s="21" t="s">
        <v>60</v>
      </c>
      <c r="G16" s="31" t="s">
        <v>353</v>
      </c>
      <c r="H16" s="19" t="s">
        <v>23</v>
      </c>
    </row>
    <row r="17" spans="1:8" ht="18" customHeight="1" x14ac:dyDescent="0.2">
      <c r="A17" s="16" t="s">
        <v>356</v>
      </c>
      <c r="B17" s="16" t="s">
        <v>357</v>
      </c>
      <c r="C17" s="16"/>
      <c r="D17" s="16"/>
      <c r="E17" s="16"/>
      <c r="F17" s="16"/>
      <c r="G17" s="16"/>
      <c r="H17" s="16"/>
    </row>
    <row r="18" spans="1:8" ht="30" customHeight="1" x14ac:dyDescent="0.2">
      <c r="A18" s="17" t="s">
        <v>356</v>
      </c>
      <c r="B18" s="17" t="s">
        <v>357</v>
      </c>
      <c r="C18" s="18" t="s">
        <v>358</v>
      </c>
      <c r="D18" s="19" t="s">
        <v>359</v>
      </c>
      <c r="E18" s="29">
        <v>1</v>
      </c>
      <c r="F18" s="21" t="s">
        <v>60</v>
      </c>
      <c r="G18" s="31" t="s">
        <v>360</v>
      </c>
      <c r="H18" s="19" t="s">
        <v>23</v>
      </c>
    </row>
    <row r="19" spans="1:8" ht="30" customHeight="1" x14ac:dyDescent="0.2">
      <c r="A19" s="24" t="s">
        <v>356</v>
      </c>
      <c r="B19" s="24" t="s">
        <v>357</v>
      </c>
      <c r="C19" s="25" t="s">
        <v>361</v>
      </c>
      <c r="D19" s="26" t="s">
        <v>362</v>
      </c>
      <c r="E19" s="20">
        <v>2</v>
      </c>
      <c r="F19" s="21" t="s">
        <v>60</v>
      </c>
      <c r="G19" s="31" t="s">
        <v>360</v>
      </c>
      <c r="H19" s="19" t="s">
        <v>23</v>
      </c>
    </row>
    <row r="20" spans="1:8" ht="30" customHeight="1" x14ac:dyDescent="0.2">
      <c r="A20" s="17" t="s">
        <v>356</v>
      </c>
      <c r="B20" s="17" t="s">
        <v>357</v>
      </c>
      <c r="C20" s="18" t="s">
        <v>363</v>
      </c>
      <c r="D20" s="19" t="s">
        <v>364</v>
      </c>
      <c r="E20" s="20">
        <v>2</v>
      </c>
      <c r="F20" s="21" t="s">
        <v>60</v>
      </c>
      <c r="G20" s="31" t="s">
        <v>360</v>
      </c>
      <c r="H20" s="19" t="s">
        <v>23</v>
      </c>
    </row>
    <row r="21" spans="1:8" ht="30" customHeight="1" x14ac:dyDescent="0.2">
      <c r="A21" s="24" t="s">
        <v>356</v>
      </c>
      <c r="B21" s="24" t="s">
        <v>357</v>
      </c>
      <c r="C21" s="25" t="s">
        <v>365</v>
      </c>
      <c r="D21" s="26" t="s">
        <v>366</v>
      </c>
      <c r="E21" s="20">
        <v>2</v>
      </c>
      <c r="F21" s="21" t="s">
        <v>60</v>
      </c>
      <c r="G21" s="31" t="s">
        <v>360</v>
      </c>
      <c r="H21" s="19" t="s">
        <v>23</v>
      </c>
    </row>
  </sheetData>
  <conditionalFormatting sqref="F2:F21">
    <cfRule type="cellIs" dxfId="41" priority="2" operator="equal">
      <formula>"Compliant"</formula>
    </cfRule>
    <cfRule type="cellIs" dxfId="40" priority="3" operator="equal">
      <formula>"In Progress"</formula>
    </cfRule>
    <cfRule type="cellIs" dxfId="39"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Normal="100" workbookViewId="0">
      <pane ySplit="1" topLeftCell="A2" activePane="bottomLeft" state="frozen"/>
      <selection pane="bottomLeft" activeCell="G10" sqref="G10"/>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34" t="s">
        <v>33</v>
      </c>
      <c r="B1" s="34" t="s">
        <v>34</v>
      </c>
      <c r="C1" s="34" t="s">
        <v>35</v>
      </c>
      <c r="D1" s="34" t="s">
        <v>36</v>
      </c>
      <c r="E1" s="34" t="s">
        <v>37</v>
      </c>
      <c r="F1" s="34" t="s">
        <v>38</v>
      </c>
      <c r="G1" s="34" t="s">
        <v>39</v>
      </c>
      <c r="H1" s="34" t="s">
        <v>40</v>
      </c>
    </row>
    <row r="2" spans="1:8" ht="18" customHeight="1" x14ac:dyDescent="0.2">
      <c r="A2" s="35" t="s">
        <v>367</v>
      </c>
      <c r="B2" s="35" t="s">
        <v>368</v>
      </c>
      <c r="C2" s="35" t="s">
        <v>369</v>
      </c>
      <c r="D2" s="35" t="s">
        <v>369</v>
      </c>
      <c r="E2" s="35" t="s">
        <v>369</v>
      </c>
      <c r="F2" s="16"/>
      <c r="G2" s="35" t="s">
        <v>369</v>
      </c>
      <c r="H2" s="35" t="s">
        <v>369</v>
      </c>
    </row>
    <row r="3" spans="1:8" ht="30" customHeight="1" x14ac:dyDescent="0.2">
      <c r="A3" s="17" t="s">
        <v>367</v>
      </c>
      <c r="B3" s="17" t="s">
        <v>368</v>
      </c>
      <c r="C3" s="18" t="s">
        <v>370</v>
      </c>
      <c r="D3" s="19" t="s">
        <v>371</v>
      </c>
      <c r="E3" s="36" t="s">
        <v>372</v>
      </c>
      <c r="F3" s="21" t="s">
        <v>45</v>
      </c>
      <c r="G3" s="19" t="s">
        <v>373</v>
      </c>
      <c r="H3" s="19" t="s">
        <v>374</v>
      </c>
    </row>
    <row r="4" spans="1:8" ht="18" customHeight="1" x14ac:dyDescent="0.2">
      <c r="A4" s="35" t="s">
        <v>375</v>
      </c>
      <c r="B4" s="35" t="s">
        <v>376</v>
      </c>
      <c r="C4" s="35" t="s">
        <v>369</v>
      </c>
      <c r="D4" s="35" t="s">
        <v>369</v>
      </c>
      <c r="E4" s="35" t="s">
        <v>369</v>
      </c>
      <c r="F4" s="16"/>
      <c r="G4" s="35" t="s">
        <v>369</v>
      </c>
      <c r="H4" s="35" t="s">
        <v>369</v>
      </c>
    </row>
    <row r="5" spans="1:8" ht="30" customHeight="1" x14ac:dyDescent="0.2">
      <c r="A5" s="17" t="s">
        <v>375</v>
      </c>
      <c r="B5" s="17" t="s">
        <v>376</v>
      </c>
      <c r="C5" s="18" t="s">
        <v>377</v>
      </c>
      <c r="D5" s="19" t="s">
        <v>378</v>
      </c>
      <c r="E5" s="37" t="s">
        <v>379</v>
      </c>
      <c r="F5" s="21" t="s">
        <v>45</v>
      </c>
      <c r="G5" s="19" t="s">
        <v>380</v>
      </c>
      <c r="H5" s="19" t="s">
        <v>381</v>
      </c>
    </row>
    <row r="6" spans="1:8" ht="30" customHeight="1" x14ac:dyDescent="0.2">
      <c r="A6" s="24" t="s">
        <v>375</v>
      </c>
      <c r="B6" s="24" t="s">
        <v>376</v>
      </c>
      <c r="C6" s="25" t="s">
        <v>382</v>
      </c>
      <c r="D6" s="26" t="s">
        <v>383</v>
      </c>
      <c r="E6" s="37" t="s">
        <v>379</v>
      </c>
      <c r="F6" s="21" t="s">
        <v>45</v>
      </c>
      <c r="G6" s="26" t="s">
        <v>384</v>
      </c>
      <c r="H6" s="26" t="s">
        <v>385</v>
      </c>
    </row>
    <row r="7" spans="1:8" ht="30" customHeight="1" x14ac:dyDescent="0.2">
      <c r="A7" s="17" t="s">
        <v>375</v>
      </c>
      <c r="B7" s="17" t="s">
        <v>376</v>
      </c>
      <c r="C7" s="18" t="s">
        <v>386</v>
      </c>
      <c r="D7" s="19" t="s">
        <v>387</v>
      </c>
      <c r="E7" s="36" t="s">
        <v>372</v>
      </c>
      <c r="F7" s="21" t="s">
        <v>60</v>
      </c>
      <c r="G7" s="19" t="s">
        <v>388</v>
      </c>
      <c r="H7" s="19" t="s">
        <v>23</v>
      </c>
    </row>
    <row r="8" spans="1:8" ht="30" customHeight="1" x14ac:dyDescent="0.2">
      <c r="A8" s="24" t="s">
        <v>375</v>
      </c>
      <c r="B8" s="24" t="s">
        <v>376</v>
      </c>
      <c r="C8" s="25" t="s">
        <v>389</v>
      </c>
      <c r="D8" s="26" t="s">
        <v>390</v>
      </c>
      <c r="E8" s="38" t="s">
        <v>391</v>
      </c>
      <c r="F8" s="21" t="s">
        <v>45</v>
      </c>
      <c r="G8" s="26" t="s">
        <v>392</v>
      </c>
      <c r="H8" s="26" t="s">
        <v>393</v>
      </c>
    </row>
    <row r="9" spans="1:8" ht="30" customHeight="1" x14ac:dyDescent="0.2">
      <c r="A9" s="17" t="s">
        <v>375</v>
      </c>
      <c r="B9" s="17" t="s">
        <v>376</v>
      </c>
      <c r="C9" s="18" t="s">
        <v>394</v>
      </c>
      <c r="D9" s="19" t="s">
        <v>395</v>
      </c>
      <c r="E9" s="38" t="s">
        <v>391</v>
      </c>
      <c r="F9" s="21" t="s">
        <v>60</v>
      </c>
      <c r="G9" s="19" t="s">
        <v>396</v>
      </c>
      <c r="H9" s="19" t="s">
        <v>23</v>
      </c>
    </row>
    <row r="10" spans="1:8" ht="30" customHeight="1" x14ac:dyDescent="0.2">
      <c r="A10" s="24" t="s">
        <v>375</v>
      </c>
      <c r="B10" s="24" t="s">
        <v>376</v>
      </c>
      <c r="C10" s="25" t="s">
        <v>397</v>
      </c>
      <c r="D10" s="26" t="s">
        <v>398</v>
      </c>
      <c r="E10" s="38" t="s">
        <v>391</v>
      </c>
      <c r="F10" s="21" t="s">
        <v>45</v>
      </c>
      <c r="G10" s="26" t="s">
        <v>1156</v>
      </c>
      <c r="H10" s="26" t="s">
        <v>400</v>
      </c>
    </row>
    <row r="11" spans="1:8" ht="18" customHeight="1" x14ac:dyDescent="0.2">
      <c r="A11" s="35" t="s">
        <v>401</v>
      </c>
      <c r="B11" s="35" t="s">
        <v>402</v>
      </c>
      <c r="C11" s="35" t="s">
        <v>369</v>
      </c>
      <c r="D11" s="35" t="s">
        <v>369</v>
      </c>
      <c r="E11" s="35" t="s">
        <v>369</v>
      </c>
      <c r="F11" s="16"/>
      <c r="G11" s="35" t="s">
        <v>369</v>
      </c>
      <c r="H11" s="35" t="s">
        <v>369</v>
      </c>
    </row>
    <row r="12" spans="1:8" ht="30" customHeight="1" x14ac:dyDescent="0.2">
      <c r="A12" s="17" t="s">
        <v>401</v>
      </c>
      <c r="B12" s="17" t="s">
        <v>402</v>
      </c>
      <c r="C12" s="18" t="s">
        <v>403</v>
      </c>
      <c r="D12" s="19" t="s">
        <v>404</v>
      </c>
      <c r="E12" s="37" t="s">
        <v>379</v>
      </c>
      <c r="F12" s="21" t="s">
        <v>45</v>
      </c>
      <c r="G12" s="19" t="s">
        <v>405</v>
      </c>
      <c r="H12" s="19" t="s">
        <v>406</v>
      </c>
    </row>
    <row r="13" spans="1:8" ht="30" customHeight="1" x14ac:dyDescent="0.2">
      <c r="A13" s="24" t="s">
        <v>401</v>
      </c>
      <c r="B13" s="24" t="s">
        <v>402</v>
      </c>
      <c r="C13" s="25" t="s">
        <v>407</v>
      </c>
      <c r="D13" s="26" t="s">
        <v>408</v>
      </c>
      <c r="E13" s="37" t="s">
        <v>379</v>
      </c>
      <c r="F13" s="21" t="s">
        <v>45</v>
      </c>
      <c r="G13" s="26" t="s">
        <v>409</v>
      </c>
      <c r="H13" s="26" t="s">
        <v>410</v>
      </c>
    </row>
    <row r="14" spans="1:8" ht="30" customHeight="1" x14ac:dyDescent="0.2">
      <c r="A14" s="17" t="s">
        <v>401</v>
      </c>
      <c r="B14" s="17" t="s">
        <v>402</v>
      </c>
      <c r="C14" s="18" t="s">
        <v>411</v>
      </c>
      <c r="D14" s="19" t="s">
        <v>412</v>
      </c>
      <c r="E14" s="38" t="s">
        <v>391</v>
      </c>
      <c r="F14" s="21" t="s">
        <v>60</v>
      </c>
      <c r="G14" s="19" t="s">
        <v>413</v>
      </c>
      <c r="H14" s="19" t="s">
        <v>23</v>
      </c>
    </row>
    <row r="15" spans="1:8" ht="18" customHeight="1" x14ac:dyDescent="0.2">
      <c r="A15" s="35" t="s">
        <v>414</v>
      </c>
      <c r="B15" s="35" t="s">
        <v>415</v>
      </c>
      <c r="C15" s="35" t="s">
        <v>369</v>
      </c>
      <c r="D15" s="35" t="s">
        <v>369</v>
      </c>
      <c r="E15" s="35" t="s">
        <v>369</v>
      </c>
      <c r="F15" s="16"/>
      <c r="G15" s="35" t="s">
        <v>369</v>
      </c>
      <c r="H15" s="35" t="s">
        <v>369</v>
      </c>
    </row>
    <row r="16" spans="1:8" ht="30" customHeight="1" x14ac:dyDescent="0.2">
      <c r="A16" s="17" t="s">
        <v>414</v>
      </c>
      <c r="B16" s="17" t="s">
        <v>415</v>
      </c>
      <c r="C16" s="18" t="s">
        <v>416</v>
      </c>
      <c r="D16" s="19" t="s">
        <v>417</v>
      </c>
      <c r="E16" s="36" t="s">
        <v>372</v>
      </c>
      <c r="F16" s="21" t="s">
        <v>45</v>
      </c>
      <c r="G16" s="19" t="s">
        <v>418</v>
      </c>
      <c r="H16" s="19" t="s">
        <v>419</v>
      </c>
    </row>
    <row r="17" spans="1:8" ht="30" customHeight="1" x14ac:dyDescent="0.2">
      <c r="A17" s="24" t="s">
        <v>414</v>
      </c>
      <c r="B17" s="24" t="s">
        <v>415</v>
      </c>
      <c r="C17" s="25" t="s">
        <v>420</v>
      </c>
      <c r="D17" s="26" t="s">
        <v>421</v>
      </c>
      <c r="E17" s="36" t="s">
        <v>372</v>
      </c>
      <c r="F17" s="21" t="s">
        <v>205</v>
      </c>
      <c r="G17" s="26" t="s">
        <v>422</v>
      </c>
      <c r="H17" s="26" t="s">
        <v>419</v>
      </c>
    </row>
    <row r="18" spans="1:8" ht="30" customHeight="1" x14ac:dyDescent="0.2">
      <c r="A18" s="17" t="s">
        <v>414</v>
      </c>
      <c r="B18" s="17" t="s">
        <v>415</v>
      </c>
      <c r="C18" s="18" t="s">
        <v>423</v>
      </c>
      <c r="D18" s="19" t="s">
        <v>424</v>
      </c>
      <c r="E18" s="36" t="s">
        <v>372</v>
      </c>
      <c r="F18" s="21" t="s">
        <v>399</v>
      </c>
      <c r="G18" s="19" t="s">
        <v>425</v>
      </c>
      <c r="H18" s="19" t="s">
        <v>426</v>
      </c>
    </row>
  </sheetData>
  <conditionalFormatting sqref="F2:F18">
    <cfRule type="cellIs" dxfId="38" priority="2" operator="equal">
      <formula>"Compliant"</formula>
    </cfRule>
    <cfRule type="cellIs" dxfId="37" priority="3" operator="equal">
      <formula>"In Progress"</formula>
    </cfRule>
    <cfRule type="cellIs" dxfId="36"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Normal="100" workbookViewId="0">
      <pane ySplit="1" topLeftCell="A22" activePane="bottomLeft" state="frozen"/>
      <selection pane="bottomLeft" activeCell="G28" sqref="G28"/>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
      <c r="A1" s="15" t="s">
        <v>33</v>
      </c>
      <c r="B1" s="15" t="s">
        <v>34</v>
      </c>
      <c r="C1" s="15" t="s">
        <v>35</v>
      </c>
      <c r="D1" s="15" t="s">
        <v>36</v>
      </c>
      <c r="E1" s="15" t="s">
        <v>37</v>
      </c>
      <c r="F1" s="15" t="s">
        <v>38</v>
      </c>
      <c r="G1" s="15" t="s">
        <v>39</v>
      </c>
      <c r="H1" s="15" t="s">
        <v>40</v>
      </c>
    </row>
    <row r="2" spans="1:8" x14ac:dyDescent="0.2">
      <c r="A2" s="16" t="s">
        <v>427</v>
      </c>
      <c r="B2" s="16" t="s">
        <v>428</v>
      </c>
      <c r="C2" s="16"/>
      <c r="D2" s="16"/>
      <c r="E2" s="16"/>
      <c r="F2" s="16"/>
      <c r="G2" s="16"/>
      <c r="H2" s="16"/>
    </row>
    <row r="3" spans="1:8" ht="80" x14ac:dyDescent="0.2">
      <c r="A3" s="17" t="s">
        <v>427</v>
      </c>
      <c r="B3" s="17" t="s">
        <v>428</v>
      </c>
      <c r="C3" s="18" t="s">
        <v>429</v>
      </c>
      <c r="D3" s="19" t="s">
        <v>430</v>
      </c>
      <c r="E3" s="29">
        <v>1</v>
      </c>
      <c r="F3" s="21" t="s">
        <v>45</v>
      </c>
      <c r="G3" s="19" t="s">
        <v>431</v>
      </c>
      <c r="H3" s="19" t="s">
        <v>432</v>
      </c>
    </row>
    <row r="4" spans="1:8" ht="64" x14ac:dyDescent="0.2">
      <c r="A4" s="24" t="s">
        <v>427</v>
      </c>
      <c r="B4" s="24" t="s">
        <v>428</v>
      </c>
      <c r="C4" s="25" t="s">
        <v>433</v>
      </c>
      <c r="D4" s="26" t="s">
        <v>434</v>
      </c>
      <c r="E4" s="20">
        <v>2</v>
      </c>
      <c r="F4" s="21" t="s">
        <v>45</v>
      </c>
      <c r="G4" s="26" t="s">
        <v>435</v>
      </c>
      <c r="H4" s="26" t="s">
        <v>436</v>
      </c>
    </row>
    <row r="5" spans="1:8" ht="80" x14ac:dyDescent="0.2">
      <c r="A5" s="17" t="s">
        <v>427</v>
      </c>
      <c r="B5" s="17" t="s">
        <v>428</v>
      </c>
      <c r="C5" s="18" t="s">
        <v>437</v>
      </c>
      <c r="D5" s="19" t="s">
        <v>438</v>
      </c>
      <c r="E5" s="20">
        <v>2</v>
      </c>
      <c r="F5" s="21" t="s">
        <v>45</v>
      </c>
      <c r="G5" s="19" t="s">
        <v>439</v>
      </c>
      <c r="H5" s="19" t="s">
        <v>440</v>
      </c>
    </row>
    <row r="6" spans="1:8" x14ac:dyDescent="0.2">
      <c r="A6" s="16" t="s">
        <v>441</v>
      </c>
      <c r="B6" s="16" t="s">
        <v>442</v>
      </c>
      <c r="C6" s="16"/>
      <c r="D6" s="16"/>
      <c r="E6" s="16"/>
      <c r="F6" s="16"/>
      <c r="G6" s="16"/>
      <c r="H6" s="16"/>
    </row>
    <row r="7" spans="1:8" ht="32" x14ac:dyDescent="0.2">
      <c r="A7" s="17" t="s">
        <v>441</v>
      </c>
      <c r="B7" s="17" t="s">
        <v>442</v>
      </c>
      <c r="C7" s="18" t="s">
        <v>443</v>
      </c>
      <c r="D7" s="19" t="s">
        <v>444</v>
      </c>
      <c r="E7" s="29">
        <v>1</v>
      </c>
      <c r="F7" s="21" t="s">
        <v>45</v>
      </c>
      <c r="G7" s="31" t="s">
        <v>1157</v>
      </c>
      <c r="H7" s="31" t="s">
        <v>445</v>
      </c>
    </row>
    <row r="8" spans="1:8" ht="32" x14ac:dyDescent="0.2">
      <c r="A8" s="24" t="s">
        <v>441</v>
      </c>
      <c r="B8" s="24" t="s">
        <v>442</v>
      </c>
      <c r="C8" s="25" t="s">
        <v>446</v>
      </c>
      <c r="D8" s="26" t="s">
        <v>447</v>
      </c>
      <c r="E8" s="29">
        <v>1</v>
      </c>
      <c r="F8" s="21" t="s">
        <v>399</v>
      </c>
      <c r="G8" s="31" t="s">
        <v>448</v>
      </c>
      <c r="H8" s="31" t="s">
        <v>449</v>
      </c>
    </row>
    <row r="9" spans="1:8" ht="32" x14ac:dyDescent="0.2">
      <c r="A9" s="17" t="s">
        <v>441</v>
      </c>
      <c r="B9" s="17" t="s">
        <v>442</v>
      </c>
      <c r="C9" s="18" t="s">
        <v>450</v>
      </c>
      <c r="D9" s="19" t="s">
        <v>451</v>
      </c>
      <c r="E9" s="29">
        <v>1</v>
      </c>
      <c r="F9" s="21" t="s">
        <v>399</v>
      </c>
      <c r="G9" s="31" t="s">
        <v>452</v>
      </c>
      <c r="H9" s="31" t="s">
        <v>453</v>
      </c>
    </row>
    <row r="10" spans="1:8" ht="64" x14ac:dyDescent="0.2">
      <c r="A10" s="24" t="s">
        <v>441</v>
      </c>
      <c r="B10" s="24" t="s">
        <v>442</v>
      </c>
      <c r="C10" s="25" t="s">
        <v>454</v>
      </c>
      <c r="D10" s="26" t="s">
        <v>455</v>
      </c>
      <c r="E10" s="29">
        <v>1</v>
      </c>
      <c r="F10" s="21" t="s">
        <v>45</v>
      </c>
      <c r="G10" s="26" t="s">
        <v>456</v>
      </c>
      <c r="H10" s="26" t="s">
        <v>457</v>
      </c>
    </row>
    <row r="11" spans="1:8" ht="80" x14ac:dyDescent="0.2">
      <c r="A11" s="17" t="s">
        <v>441</v>
      </c>
      <c r="B11" s="17" t="s">
        <v>442</v>
      </c>
      <c r="C11" s="18" t="s">
        <v>458</v>
      </c>
      <c r="D11" s="19" t="s">
        <v>459</v>
      </c>
      <c r="E11" s="29">
        <v>1</v>
      </c>
      <c r="F11" s="21" t="s">
        <v>45</v>
      </c>
      <c r="G11" s="31" t="s">
        <v>460</v>
      </c>
      <c r="H11" s="31" t="s">
        <v>178</v>
      </c>
    </row>
    <row r="12" spans="1:8" ht="48" x14ac:dyDescent="0.2">
      <c r="A12" s="24" t="s">
        <v>441</v>
      </c>
      <c r="B12" s="24" t="s">
        <v>442</v>
      </c>
      <c r="C12" s="25" t="s">
        <v>461</v>
      </c>
      <c r="D12" s="26" t="s">
        <v>462</v>
      </c>
      <c r="E12" s="29">
        <v>1</v>
      </c>
      <c r="F12" s="21" t="s">
        <v>60</v>
      </c>
      <c r="G12" s="26" t="s">
        <v>463</v>
      </c>
      <c r="H12" s="26" t="s">
        <v>23</v>
      </c>
    </row>
    <row r="13" spans="1:8" ht="32" x14ac:dyDescent="0.2">
      <c r="A13" s="17" t="s">
        <v>441</v>
      </c>
      <c r="B13" s="17" t="s">
        <v>442</v>
      </c>
      <c r="C13" s="18" t="s">
        <v>464</v>
      </c>
      <c r="D13" s="19" t="s">
        <v>465</v>
      </c>
      <c r="E13" s="29">
        <v>1</v>
      </c>
      <c r="F13" s="21" t="s">
        <v>60</v>
      </c>
      <c r="G13" s="26" t="s">
        <v>463</v>
      </c>
      <c r="H13" s="26" t="s">
        <v>23</v>
      </c>
    </row>
    <row r="14" spans="1:8" ht="64" x14ac:dyDescent="0.2">
      <c r="A14" s="24" t="s">
        <v>441</v>
      </c>
      <c r="B14" s="24" t="s">
        <v>442</v>
      </c>
      <c r="C14" s="25" t="s">
        <v>466</v>
      </c>
      <c r="D14" s="26" t="s">
        <v>467</v>
      </c>
      <c r="E14" s="29">
        <v>1</v>
      </c>
      <c r="F14" s="21" t="s">
        <v>45</v>
      </c>
      <c r="G14" s="26" t="s">
        <v>468</v>
      </c>
      <c r="H14" s="26" t="s">
        <v>445</v>
      </c>
    </row>
    <row r="15" spans="1:8" ht="64" x14ac:dyDescent="0.2">
      <c r="A15" s="17" t="s">
        <v>441</v>
      </c>
      <c r="B15" s="17" t="s">
        <v>442</v>
      </c>
      <c r="C15" s="18" t="s">
        <v>469</v>
      </c>
      <c r="D15" s="19" t="s">
        <v>470</v>
      </c>
      <c r="E15" s="20">
        <v>2</v>
      </c>
      <c r="F15" s="21" t="s">
        <v>45</v>
      </c>
      <c r="G15" s="19" t="s">
        <v>471</v>
      </c>
      <c r="H15" s="19" t="s">
        <v>445</v>
      </c>
    </row>
    <row r="16" spans="1:8" ht="48" x14ac:dyDescent="0.2">
      <c r="A16" s="24" t="s">
        <v>441</v>
      </c>
      <c r="B16" s="24" t="s">
        <v>442</v>
      </c>
      <c r="C16" s="25" t="s">
        <v>472</v>
      </c>
      <c r="D16" s="26" t="s">
        <v>473</v>
      </c>
      <c r="E16" s="20">
        <v>2</v>
      </c>
      <c r="F16" s="21" t="s">
        <v>45</v>
      </c>
      <c r="G16" s="26" t="s">
        <v>474</v>
      </c>
      <c r="H16" s="26"/>
    </row>
    <row r="17" spans="1:8" ht="32" x14ac:dyDescent="0.2">
      <c r="A17" s="17" t="s">
        <v>441</v>
      </c>
      <c r="B17" s="17" t="s">
        <v>442</v>
      </c>
      <c r="C17" s="18" t="s">
        <v>475</v>
      </c>
      <c r="D17" s="19" t="s">
        <v>476</v>
      </c>
      <c r="E17" s="20">
        <v>2</v>
      </c>
      <c r="F17" s="21" t="s">
        <v>399</v>
      </c>
      <c r="G17" s="19" t="s">
        <v>477</v>
      </c>
      <c r="H17" s="19"/>
    </row>
    <row r="18" spans="1:8" ht="48" x14ac:dyDescent="0.2">
      <c r="A18" s="24" t="s">
        <v>441</v>
      </c>
      <c r="B18" s="24" t="s">
        <v>442</v>
      </c>
      <c r="C18" s="25" t="s">
        <v>478</v>
      </c>
      <c r="D18" s="26" t="s">
        <v>479</v>
      </c>
      <c r="E18" s="20">
        <v>2</v>
      </c>
      <c r="F18" s="21" t="s">
        <v>399</v>
      </c>
      <c r="G18" s="26" t="s">
        <v>480</v>
      </c>
      <c r="H18" s="26"/>
    </row>
    <row r="19" spans="1:8" x14ac:dyDescent="0.2">
      <c r="A19" s="16" t="s">
        <v>481</v>
      </c>
      <c r="B19" s="16" t="s">
        <v>482</v>
      </c>
      <c r="C19" s="16"/>
      <c r="D19" s="16"/>
      <c r="E19" s="16"/>
      <c r="F19" s="16"/>
      <c r="G19" s="16"/>
      <c r="H19" s="16"/>
    </row>
    <row r="20" spans="1:8" ht="64" x14ac:dyDescent="0.2">
      <c r="A20" s="17" t="s">
        <v>481</v>
      </c>
      <c r="B20" s="17" t="s">
        <v>482</v>
      </c>
      <c r="C20" s="18" t="s">
        <v>483</v>
      </c>
      <c r="D20" s="19" t="s">
        <v>484</v>
      </c>
      <c r="E20" s="29">
        <v>1</v>
      </c>
      <c r="F20" s="21" t="s">
        <v>45</v>
      </c>
      <c r="G20" s="19" t="s">
        <v>485</v>
      </c>
      <c r="H20" s="39" t="s">
        <v>486</v>
      </c>
    </row>
    <row r="21" spans="1:8" ht="96" x14ac:dyDescent="0.2">
      <c r="A21" s="24" t="s">
        <v>481</v>
      </c>
      <c r="B21" s="24" t="s">
        <v>482</v>
      </c>
      <c r="C21" s="25" t="s">
        <v>487</v>
      </c>
      <c r="D21" s="26" t="s">
        <v>488</v>
      </c>
      <c r="E21" s="29">
        <v>1</v>
      </c>
      <c r="F21" s="21" t="s">
        <v>45</v>
      </c>
      <c r="G21" s="26" t="s">
        <v>1158</v>
      </c>
      <c r="H21" s="26" t="s">
        <v>489</v>
      </c>
    </row>
    <row r="22" spans="1:8" ht="144" x14ac:dyDescent="0.2">
      <c r="A22" s="17" t="s">
        <v>481</v>
      </c>
      <c r="B22" s="17" t="s">
        <v>482</v>
      </c>
      <c r="C22" s="18" t="s">
        <v>490</v>
      </c>
      <c r="D22" s="19" t="s">
        <v>491</v>
      </c>
      <c r="E22" s="20">
        <v>2</v>
      </c>
      <c r="F22" s="21" t="s">
        <v>399</v>
      </c>
      <c r="G22" s="19" t="s">
        <v>492</v>
      </c>
      <c r="H22" s="19"/>
    </row>
    <row r="23" spans="1:8" ht="48" x14ac:dyDescent="0.2">
      <c r="A23" s="24" t="s">
        <v>481</v>
      </c>
      <c r="B23" s="24" t="s">
        <v>482</v>
      </c>
      <c r="C23" s="25" t="s">
        <v>493</v>
      </c>
      <c r="D23" s="26" t="s">
        <v>494</v>
      </c>
      <c r="E23" s="20">
        <v>2</v>
      </c>
      <c r="F23" s="21" t="s">
        <v>45</v>
      </c>
      <c r="G23" s="26" t="s">
        <v>495</v>
      </c>
      <c r="H23" s="26" t="s">
        <v>496</v>
      </c>
    </row>
    <row r="24" spans="1:8" ht="80" x14ac:dyDescent="0.2">
      <c r="A24" s="17" t="s">
        <v>481</v>
      </c>
      <c r="B24" s="17" t="s">
        <v>482</v>
      </c>
      <c r="C24" s="18" t="s">
        <v>497</v>
      </c>
      <c r="D24" s="19" t="s">
        <v>498</v>
      </c>
      <c r="E24" s="30">
        <v>3</v>
      </c>
      <c r="F24" s="21" t="s">
        <v>399</v>
      </c>
      <c r="G24" s="19" t="s">
        <v>499</v>
      </c>
      <c r="H24" s="19"/>
    </row>
    <row r="25" spans="1:8" ht="48" x14ac:dyDescent="0.2">
      <c r="A25" s="24" t="s">
        <v>481</v>
      </c>
      <c r="B25" s="24" t="s">
        <v>482</v>
      </c>
      <c r="C25" s="25" t="s">
        <v>500</v>
      </c>
      <c r="D25" s="26" t="s">
        <v>501</v>
      </c>
      <c r="E25" s="30">
        <v>3</v>
      </c>
      <c r="F25" s="21" t="s">
        <v>45</v>
      </c>
      <c r="G25" s="26" t="s">
        <v>502</v>
      </c>
      <c r="H25" s="26" t="s">
        <v>445</v>
      </c>
    </row>
    <row r="26" spans="1:8" ht="80" x14ac:dyDescent="0.2">
      <c r="A26" s="17" t="s">
        <v>481</v>
      </c>
      <c r="B26" s="17" t="s">
        <v>482</v>
      </c>
      <c r="C26" s="18" t="s">
        <v>503</v>
      </c>
      <c r="D26" s="19" t="s">
        <v>504</v>
      </c>
      <c r="E26" s="30">
        <v>3</v>
      </c>
      <c r="F26" s="21" t="s">
        <v>60</v>
      </c>
      <c r="G26" s="19" t="s">
        <v>505</v>
      </c>
      <c r="H26" s="19"/>
    </row>
    <row r="27" spans="1:8" ht="64" x14ac:dyDescent="0.2">
      <c r="A27" s="24" t="s">
        <v>481</v>
      </c>
      <c r="B27" s="24" t="s">
        <v>482</v>
      </c>
      <c r="C27" s="25" t="s">
        <v>506</v>
      </c>
      <c r="D27" s="26" t="s">
        <v>507</v>
      </c>
      <c r="E27" s="30">
        <v>3</v>
      </c>
      <c r="F27" s="21" t="s">
        <v>45</v>
      </c>
      <c r="G27" s="26" t="s">
        <v>1159</v>
      </c>
      <c r="H27" s="26" t="s">
        <v>445</v>
      </c>
    </row>
    <row r="28" spans="1:8" x14ac:dyDescent="0.2">
      <c r="A28" s="16" t="s">
        <v>508</v>
      </c>
      <c r="B28" s="16" t="s">
        <v>509</v>
      </c>
      <c r="C28" s="16"/>
      <c r="D28" s="16"/>
      <c r="E28" s="16"/>
      <c r="F28" s="16"/>
      <c r="G28" s="16"/>
      <c r="H28" s="16"/>
    </row>
    <row r="29" spans="1:8" ht="64" x14ac:dyDescent="0.2">
      <c r="A29" s="17" t="s">
        <v>508</v>
      </c>
      <c r="B29" s="17" t="s">
        <v>509</v>
      </c>
      <c r="C29" s="18" t="s">
        <v>510</v>
      </c>
      <c r="D29" s="19" t="s">
        <v>511</v>
      </c>
      <c r="E29" s="29">
        <v>1</v>
      </c>
      <c r="F29" s="21" t="s">
        <v>399</v>
      </c>
      <c r="G29" s="19" t="s">
        <v>512</v>
      </c>
      <c r="H29" s="19" t="s">
        <v>489</v>
      </c>
    </row>
    <row r="30" spans="1:8" ht="48" x14ac:dyDescent="0.2">
      <c r="A30" s="24" t="s">
        <v>508</v>
      </c>
      <c r="B30" s="24" t="s">
        <v>509</v>
      </c>
      <c r="C30" s="25" t="s">
        <v>513</v>
      </c>
      <c r="D30" s="26" t="s">
        <v>514</v>
      </c>
      <c r="E30" s="29">
        <v>1</v>
      </c>
      <c r="F30" s="21" t="s">
        <v>45</v>
      </c>
      <c r="G30" s="26" t="s">
        <v>515</v>
      </c>
      <c r="H30" s="26"/>
    </row>
    <row r="31" spans="1:8" ht="48" x14ac:dyDescent="0.2">
      <c r="A31" s="17" t="s">
        <v>508</v>
      </c>
      <c r="B31" s="17" t="s">
        <v>509</v>
      </c>
      <c r="C31" s="18" t="s">
        <v>516</v>
      </c>
      <c r="D31" s="19" t="s">
        <v>517</v>
      </c>
      <c r="E31" s="20">
        <v>2</v>
      </c>
      <c r="F31" s="21" t="s">
        <v>399</v>
      </c>
      <c r="G31" s="40" t="s">
        <v>518</v>
      </c>
      <c r="H31" s="19" t="s">
        <v>449</v>
      </c>
    </row>
    <row r="32" spans="1:8" ht="32" x14ac:dyDescent="0.2">
      <c r="A32" s="24" t="s">
        <v>508</v>
      </c>
      <c r="B32" s="24" t="s">
        <v>509</v>
      </c>
      <c r="C32" s="25" t="s">
        <v>519</v>
      </c>
      <c r="D32" s="26" t="s">
        <v>520</v>
      </c>
      <c r="E32" s="20">
        <v>2</v>
      </c>
      <c r="F32" s="21" t="s">
        <v>60</v>
      </c>
      <c r="G32" s="26" t="s">
        <v>521</v>
      </c>
      <c r="H32" s="26" t="s">
        <v>23</v>
      </c>
    </row>
    <row r="33" spans="1:8" ht="64" x14ac:dyDescent="0.2">
      <c r="A33" s="17" t="s">
        <v>508</v>
      </c>
      <c r="B33" s="17" t="s">
        <v>509</v>
      </c>
      <c r="C33" s="18" t="s">
        <v>522</v>
      </c>
      <c r="D33" s="19" t="s">
        <v>523</v>
      </c>
      <c r="E33" s="30">
        <v>3</v>
      </c>
      <c r="F33" s="21" t="s">
        <v>60</v>
      </c>
      <c r="G33" s="31" t="s">
        <v>524</v>
      </c>
      <c r="H33" s="26" t="s">
        <v>23</v>
      </c>
    </row>
    <row r="34" spans="1:8" ht="64" x14ac:dyDescent="0.2">
      <c r="A34" s="24" t="s">
        <v>508</v>
      </c>
      <c r="B34" s="24" t="s">
        <v>509</v>
      </c>
      <c r="C34" s="25" t="s">
        <v>525</v>
      </c>
      <c r="D34" s="26" t="s">
        <v>526</v>
      </c>
      <c r="E34" s="30">
        <v>3</v>
      </c>
      <c r="F34" s="21" t="s">
        <v>60</v>
      </c>
      <c r="G34" s="26" t="s">
        <v>527</v>
      </c>
      <c r="H34" s="26"/>
    </row>
    <row r="35" spans="1:8" x14ac:dyDescent="0.2">
      <c r="A35" s="16" t="s">
        <v>528</v>
      </c>
      <c r="B35" s="16" t="s">
        <v>529</v>
      </c>
      <c r="C35" s="16"/>
      <c r="D35" s="16"/>
      <c r="E35" s="16"/>
      <c r="F35" s="16"/>
      <c r="G35" s="16"/>
      <c r="H35" s="16"/>
    </row>
    <row r="36" spans="1:8" ht="48" x14ac:dyDescent="0.2">
      <c r="A36" s="17" t="s">
        <v>528</v>
      </c>
      <c r="B36" s="17" t="s">
        <v>529</v>
      </c>
      <c r="C36" s="18" t="s">
        <v>530</v>
      </c>
      <c r="D36" s="19" t="s">
        <v>531</v>
      </c>
      <c r="E36" s="20">
        <v>2</v>
      </c>
      <c r="F36" s="21" t="s">
        <v>60</v>
      </c>
      <c r="G36" s="19" t="s">
        <v>532</v>
      </c>
      <c r="H36" s="26" t="s">
        <v>23</v>
      </c>
    </row>
    <row r="37" spans="1:8" ht="80" x14ac:dyDescent="0.2">
      <c r="A37" s="24" t="s">
        <v>528</v>
      </c>
      <c r="B37" s="24" t="s">
        <v>529</v>
      </c>
      <c r="C37" s="25" t="s">
        <v>533</v>
      </c>
      <c r="D37" s="26" t="s">
        <v>534</v>
      </c>
      <c r="E37" s="20">
        <v>2</v>
      </c>
      <c r="F37" s="21" t="s">
        <v>60</v>
      </c>
      <c r="G37" s="26" t="s">
        <v>535</v>
      </c>
      <c r="H37" s="26" t="s">
        <v>23</v>
      </c>
    </row>
    <row r="38" spans="1:8" ht="48" x14ac:dyDescent="0.2">
      <c r="A38" s="17" t="s">
        <v>528</v>
      </c>
      <c r="B38" s="17" t="s">
        <v>529</v>
      </c>
      <c r="C38" s="18" t="s">
        <v>536</v>
      </c>
      <c r="D38" s="19" t="s">
        <v>537</v>
      </c>
      <c r="E38" s="20">
        <v>2</v>
      </c>
      <c r="F38" s="21" t="s">
        <v>60</v>
      </c>
      <c r="G38" s="19" t="s">
        <v>538</v>
      </c>
      <c r="H38" s="26" t="s">
        <v>23</v>
      </c>
    </row>
    <row r="39" spans="1:8" ht="48" x14ac:dyDescent="0.2">
      <c r="A39" s="24" t="s">
        <v>528</v>
      </c>
      <c r="B39" s="24" t="s">
        <v>529</v>
      </c>
      <c r="C39" s="25" t="s">
        <v>539</v>
      </c>
      <c r="D39" s="26" t="s">
        <v>540</v>
      </c>
      <c r="E39" s="20">
        <v>2</v>
      </c>
      <c r="F39" s="21" t="s">
        <v>60</v>
      </c>
      <c r="G39" s="26" t="s">
        <v>541</v>
      </c>
      <c r="H39" s="26" t="s">
        <v>23</v>
      </c>
    </row>
    <row r="40" spans="1:8" ht="64" x14ac:dyDescent="0.2">
      <c r="A40" s="17" t="s">
        <v>528</v>
      </c>
      <c r="B40" s="17" t="s">
        <v>529</v>
      </c>
      <c r="C40" s="18" t="s">
        <v>542</v>
      </c>
      <c r="D40" s="19" t="s">
        <v>543</v>
      </c>
      <c r="E40" s="20">
        <v>2</v>
      </c>
      <c r="F40" s="21" t="s">
        <v>60</v>
      </c>
      <c r="G40" s="19" t="s">
        <v>544</v>
      </c>
      <c r="H40" s="26" t="s">
        <v>23</v>
      </c>
    </row>
    <row r="41" spans="1:8" ht="32" x14ac:dyDescent="0.2">
      <c r="A41" s="24" t="s">
        <v>528</v>
      </c>
      <c r="B41" s="24" t="s">
        <v>529</v>
      </c>
      <c r="C41" s="25" t="s">
        <v>545</v>
      </c>
      <c r="D41" s="26" t="s">
        <v>546</v>
      </c>
      <c r="E41" s="30">
        <v>3</v>
      </c>
      <c r="F41" s="21" t="s">
        <v>60</v>
      </c>
      <c r="G41" s="26" t="s">
        <v>547</v>
      </c>
      <c r="H41" s="26" t="s">
        <v>23</v>
      </c>
    </row>
    <row r="42" spans="1:8" ht="32" x14ac:dyDescent="0.2">
      <c r="A42" s="17" t="s">
        <v>528</v>
      </c>
      <c r="B42" s="17" t="s">
        <v>529</v>
      </c>
      <c r="C42" s="18" t="s">
        <v>548</v>
      </c>
      <c r="D42" s="19" t="s">
        <v>549</v>
      </c>
      <c r="E42" s="30">
        <v>3</v>
      </c>
      <c r="F42" s="21" t="s">
        <v>60</v>
      </c>
      <c r="G42" s="19" t="s">
        <v>550</v>
      </c>
      <c r="H42" s="26" t="s">
        <v>23</v>
      </c>
    </row>
    <row r="43" spans="1:8" ht="48" x14ac:dyDescent="0.2">
      <c r="A43" s="24" t="s">
        <v>528</v>
      </c>
      <c r="B43" s="24" t="s">
        <v>529</v>
      </c>
      <c r="C43" s="25" t="s">
        <v>551</v>
      </c>
      <c r="D43" s="26" t="s">
        <v>552</v>
      </c>
      <c r="E43" s="30">
        <v>3</v>
      </c>
      <c r="F43" s="21" t="s">
        <v>60</v>
      </c>
      <c r="G43" s="26" t="s">
        <v>553</v>
      </c>
      <c r="H43" s="26" t="s">
        <v>23</v>
      </c>
    </row>
    <row r="44" spans="1:8" x14ac:dyDescent="0.2">
      <c r="A44" s="16" t="s">
        <v>554</v>
      </c>
      <c r="B44" s="16" t="s">
        <v>555</v>
      </c>
      <c r="C44" s="16"/>
      <c r="D44" s="16"/>
      <c r="E44" s="16"/>
      <c r="F44" s="16"/>
      <c r="G44" s="16"/>
      <c r="H44" s="16"/>
    </row>
    <row r="45" spans="1:8" ht="96" x14ac:dyDescent="0.2">
      <c r="A45" s="17" t="s">
        <v>554</v>
      </c>
      <c r="B45" s="17" t="s">
        <v>555</v>
      </c>
      <c r="C45" s="18" t="s">
        <v>556</v>
      </c>
      <c r="D45" s="19" t="s">
        <v>557</v>
      </c>
      <c r="E45" s="20">
        <v>2</v>
      </c>
      <c r="F45" s="21" t="s">
        <v>60</v>
      </c>
      <c r="G45" s="19" t="s">
        <v>558</v>
      </c>
      <c r="H45" s="26" t="s">
        <v>23</v>
      </c>
    </row>
    <row r="46" spans="1:8" ht="48" x14ac:dyDescent="0.2">
      <c r="A46" s="24" t="s">
        <v>554</v>
      </c>
      <c r="B46" s="24" t="s">
        <v>555</v>
      </c>
      <c r="C46" s="25" t="s">
        <v>559</v>
      </c>
      <c r="D46" s="26" t="s">
        <v>560</v>
      </c>
      <c r="E46" s="20">
        <v>2</v>
      </c>
      <c r="F46" s="21" t="s">
        <v>60</v>
      </c>
      <c r="G46" s="26" t="s">
        <v>561</v>
      </c>
      <c r="H46" s="26" t="s">
        <v>23</v>
      </c>
    </row>
    <row r="47" spans="1:8" ht="48" x14ac:dyDescent="0.2">
      <c r="A47" s="17" t="s">
        <v>554</v>
      </c>
      <c r="B47" s="17" t="s">
        <v>555</v>
      </c>
      <c r="C47" s="18" t="s">
        <v>562</v>
      </c>
      <c r="D47" s="19" t="s">
        <v>563</v>
      </c>
      <c r="E47" s="20">
        <v>2</v>
      </c>
      <c r="F47" s="21" t="s">
        <v>60</v>
      </c>
      <c r="G47" s="19" t="s">
        <v>561</v>
      </c>
      <c r="H47" s="26" t="s">
        <v>23</v>
      </c>
    </row>
    <row r="48" spans="1:8" ht="48" x14ac:dyDescent="0.2">
      <c r="A48" s="24" t="s">
        <v>554</v>
      </c>
      <c r="B48" s="24" t="s">
        <v>555</v>
      </c>
      <c r="C48" s="25" t="s">
        <v>564</v>
      </c>
      <c r="D48" s="26" t="s">
        <v>565</v>
      </c>
      <c r="E48" s="30">
        <v>3</v>
      </c>
      <c r="F48" s="21" t="s">
        <v>60</v>
      </c>
      <c r="G48" s="26" t="s">
        <v>566</v>
      </c>
      <c r="H48" s="26" t="s">
        <v>23</v>
      </c>
    </row>
    <row r="49" spans="1:8" x14ac:dyDescent="0.2">
      <c r="A49" s="16" t="s">
        <v>567</v>
      </c>
      <c r="B49" s="16" t="s">
        <v>568</v>
      </c>
      <c r="C49" s="16"/>
      <c r="D49" s="16"/>
      <c r="E49" s="16"/>
      <c r="F49" s="16"/>
      <c r="G49" s="16"/>
      <c r="H49" s="16"/>
    </row>
    <row r="50" spans="1:8" ht="48" x14ac:dyDescent="0.2">
      <c r="A50" s="17" t="s">
        <v>567</v>
      </c>
      <c r="B50" s="17" t="s">
        <v>568</v>
      </c>
      <c r="C50" s="18" t="s">
        <v>569</v>
      </c>
      <c r="D50" s="19" t="s">
        <v>570</v>
      </c>
      <c r="E50" s="30">
        <v>3</v>
      </c>
      <c r="F50" s="21" t="s">
        <v>60</v>
      </c>
      <c r="G50" s="19" t="s">
        <v>571</v>
      </c>
      <c r="H50" s="26" t="s">
        <v>23</v>
      </c>
    </row>
    <row r="51" spans="1:8" ht="32" x14ac:dyDescent="0.2">
      <c r="A51" s="24" t="s">
        <v>567</v>
      </c>
      <c r="B51" s="24" t="s">
        <v>568</v>
      </c>
      <c r="C51" s="25" t="s">
        <v>572</v>
      </c>
      <c r="D51" s="26" t="s">
        <v>573</v>
      </c>
      <c r="E51" s="30">
        <v>3</v>
      </c>
      <c r="F51" s="21" t="s">
        <v>60</v>
      </c>
      <c r="G51" s="26" t="s">
        <v>574</v>
      </c>
      <c r="H51" s="26" t="s">
        <v>23</v>
      </c>
    </row>
    <row r="52" spans="1:8" x14ac:dyDescent="0.2">
      <c r="A52" s="16" t="s">
        <v>575</v>
      </c>
      <c r="B52" s="16" t="s">
        <v>576</v>
      </c>
      <c r="C52" s="16"/>
      <c r="D52" s="16"/>
      <c r="E52" s="16"/>
      <c r="F52" s="16"/>
      <c r="G52" s="16"/>
      <c r="H52" s="16"/>
    </row>
    <row r="53" spans="1:8" ht="80" x14ac:dyDescent="0.2">
      <c r="A53" s="17" t="s">
        <v>575</v>
      </c>
      <c r="B53" s="17" t="s">
        <v>576</v>
      </c>
      <c r="C53" s="18" t="s">
        <v>577</v>
      </c>
      <c r="D53" s="19" t="s">
        <v>578</v>
      </c>
      <c r="E53" s="20">
        <v>2</v>
      </c>
      <c r="F53" s="21" t="s">
        <v>45</v>
      </c>
      <c r="G53" s="19" t="s">
        <v>579</v>
      </c>
      <c r="H53" s="19"/>
    </row>
    <row r="54" spans="1:8" ht="64" x14ac:dyDescent="0.2">
      <c r="A54" s="24" t="s">
        <v>575</v>
      </c>
      <c r="B54" s="24" t="s">
        <v>576</v>
      </c>
      <c r="C54" s="25" t="s">
        <v>580</v>
      </c>
      <c r="D54" s="26" t="s">
        <v>581</v>
      </c>
      <c r="E54" s="20">
        <v>2</v>
      </c>
      <c r="F54" s="21" t="s">
        <v>45</v>
      </c>
      <c r="G54" s="26" t="s">
        <v>582</v>
      </c>
      <c r="H54" s="31" t="s">
        <v>583</v>
      </c>
    </row>
    <row r="55" spans="1:8" ht="32" x14ac:dyDescent="0.2">
      <c r="A55" s="17" t="s">
        <v>575</v>
      </c>
      <c r="B55" s="17" t="s">
        <v>576</v>
      </c>
      <c r="C55" s="18" t="s">
        <v>584</v>
      </c>
      <c r="D55" s="19" t="s">
        <v>585</v>
      </c>
      <c r="E55" s="20">
        <v>2</v>
      </c>
      <c r="F55" s="21" t="s">
        <v>60</v>
      </c>
      <c r="G55" s="19" t="s">
        <v>586</v>
      </c>
      <c r="H55" s="26" t="s">
        <v>23</v>
      </c>
    </row>
    <row r="56" spans="1:8" ht="144" x14ac:dyDescent="0.2">
      <c r="A56" s="24" t="s">
        <v>575</v>
      </c>
      <c r="B56" s="24" t="s">
        <v>576</v>
      </c>
      <c r="C56" s="25" t="s">
        <v>587</v>
      </c>
      <c r="D56" s="26" t="s">
        <v>588</v>
      </c>
      <c r="E56" s="20">
        <v>2</v>
      </c>
      <c r="F56" s="21" t="s">
        <v>60</v>
      </c>
      <c r="G56" s="26" t="s">
        <v>589</v>
      </c>
      <c r="H56" s="26" t="s">
        <v>23</v>
      </c>
    </row>
  </sheetData>
  <conditionalFormatting sqref="F2:F56">
    <cfRule type="cellIs" dxfId="35" priority="2" operator="equal">
      <formula>"Compliant"</formula>
    </cfRule>
    <cfRule type="cellIs" dxfId="34" priority="3" operator="equal">
      <formula>"In Progress"</formula>
    </cfRule>
    <cfRule type="cellIs" dxfId="33"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topLeftCell="B1" zoomScaleNormal="100" workbookViewId="0">
      <pane ySplit="1" topLeftCell="A10" activePane="bottomLeft" state="frozen"/>
      <selection activeCell="C1" sqref="C1"/>
      <selection pane="bottomLeft" activeCell="G22" sqref="G22"/>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
      <c r="A1" s="15" t="s">
        <v>33</v>
      </c>
      <c r="B1" s="15" t="s">
        <v>34</v>
      </c>
      <c r="C1" s="15" t="s">
        <v>35</v>
      </c>
      <c r="D1" s="15" t="s">
        <v>36</v>
      </c>
      <c r="E1" s="15" t="s">
        <v>37</v>
      </c>
      <c r="F1" s="15" t="s">
        <v>38</v>
      </c>
      <c r="G1" s="15" t="s">
        <v>39</v>
      </c>
      <c r="H1" s="15" t="s">
        <v>40</v>
      </c>
    </row>
    <row r="2" spans="1:8" x14ac:dyDescent="0.2">
      <c r="A2" s="16" t="s">
        <v>590</v>
      </c>
      <c r="B2" s="16" t="s">
        <v>591</v>
      </c>
      <c r="C2" s="16"/>
      <c r="D2" s="16"/>
      <c r="E2" s="16"/>
      <c r="F2" s="16"/>
      <c r="G2" s="16"/>
      <c r="H2" s="16"/>
    </row>
    <row r="3" spans="1:8" ht="79.5" customHeight="1" x14ac:dyDescent="0.2">
      <c r="A3" s="17" t="s">
        <v>590</v>
      </c>
      <c r="B3" s="17" t="s">
        <v>591</v>
      </c>
      <c r="C3" s="18" t="s">
        <v>592</v>
      </c>
      <c r="D3" s="19" t="s">
        <v>593</v>
      </c>
      <c r="E3" s="20">
        <v>2</v>
      </c>
      <c r="F3" s="21" t="s">
        <v>45</v>
      </c>
      <c r="G3" s="19" t="s">
        <v>594</v>
      </c>
      <c r="H3" s="19" t="s">
        <v>595</v>
      </c>
    </row>
    <row r="4" spans="1:8" ht="48" customHeight="1" x14ac:dyDescent="0.2">
      <c r="A4" s="24" t="s">
        <v>590</v>
      </c>
      <c r="B4" s="24" t="s">
        <v>591</v>
      </c>
      <c r="C4" s="25" t="s">
        <v>596</v>
      </c>
      <c r="D4" s="26" t="s">
        <v>597</v>
      </c>
      <c r="E4" s="20">
        <v>2</v>
      </c>
      <c r="F4" s="21" t="s">
        <v>60</v>
      </c>
      <c r="G4" s="26" t="s">
        <v>598</v>
      </c>
      <c r="H4" s="26"/>
    </row>
    <row r="5" spans="1:8" ht="63.75" customHeight="1" x14ac:dyDescent="0.2">
      <c r="A5" s="17" t="s">
        <v>590</v>
      </c>
      <c r="B5" s="17" t="s">
        <v>591</v>
      </c>
      <c r="C5" s="18" t="s">
        <v>599</v>
      </c>
      <c r="D5" s="19" t="s">
        <v>600</v>
      </c>
      <c r="E5" s="20">
        <v>2</v>
      </c>
      <c r="F5" s="21" t="s">
        <v>60</v>
      </c>
      <c r="G5" s="19" t="s">
        <v>601</v>
      </c>
      <c r="H5" s="19"/>
    </row>
    <row r="6" spans="1:8" x14ac:dyDescent="0.2">
      <c r="A6" s="16" t="s">
        <v>602</v>
      </c>
      <c r="B6" s="16" t="s">
        <v>603</v>
      </c>
      <c r="C6" s="16"/>
      <c r="D6" s="16"/>
      <c r="E6" s="16"/>
      <c r="F6" s="16"/>
      <c r="G6" s="16"/>
      <c r="H6" s="16"/>
    </row>
    <row r="7" spans="1:8" ht="31.5" customHeight="1" x14ac:dyDescent="0.2">
      <c r="A7" s="17" t="s">
        <v>602</v>
      </c>
      <c r="B7" s="17" t="s">
        <v>603</v>
      </c>
      <c r="C7" s="18" t="s">
        <v>604</v>
      </c>
      <c r="D7" s="19" t="s">
        <v>605</v>
      </c>
      <c r="E7" s="29">
        <v>1</v>
      </c>
      <c r="F7" s="21" t="s">
        <v>45</v>
      </c>
      <c r="G7" s="19" t="s">
        <v>606</v>
      </c>
      <c r="H7" s="19" t="s">
        <v>607</v>
      </c>
    </row>
    <row r="8" spans="1:8" ht="48" customHeight="1" x14ac:dyDescent="0.2">
      <c r="A8" s="24" t="s">
        <v>602</v>
      </c>
      <c r="B8" s="24" t="s">
        <v>603</v>
      </c>
      <c r="C8" s="25" t="s">
        <v>608</v>
      </c>
      <c r="D8" s="26" t="s">
        <v>609</v>
      </c>
      <c r="E8" s="29">
        <v>1</v>
      </c>
      <c r="F8" s="21" t="s">
        <v>45</v>
      </c>
      <c r="G8" s="26" t="s">
        <v>610</v>
      </c>
      <c r="H8" s="26"/>
    </row>
    <row r="9" spans="1:8" ht="48" customHeight="1" x14ac:dyDescent="0.2">
      <c r="A9" s="17" t="s">
        <v>602</v>
      </c>
      <c r="B9" s="17" t="s">
        <v>603</v>
      </c>
      <c r="C9" s="18" t="s">
        <v>611</v>
      </c>
      <c r="D9" s="19" t="s">
        <v>612</v>
      </c>
      <c r="E9" s="29">
        <v>1</v>
      </c>
      <c r="F9" s="21" t="s">
        <v>60</v>
      </c>
      <c r="G9" s="19" t="s">
        <v>613</v>
      </c>
      <c r="H9" s="19"/>
    </row>
    <row r="10" spans="1:8" ht="48" customHeight="1" x14ac:dyDescent="0.2">
      <c r="A10" s="24" t="s">
        <v>602</v>
      </c>
      <c r="B10" s="24" t="s">
        <v>603</v>
      </c>
      <c r="C10" s="25" t="s">
        <v>614</v>
      </c>
      <c r="D10" s="26" t="s">
        <v>615</v>
      </c>
      <c r="E10" s="29">
        <v>1</v>
      </c>
      <c r="F10" s="21" t="s">
        <v>45</v>
      </c>
      <c r="G10" s="26" t="s">
        <v>616</v>
      </c>
      <c r="H10" s="26" t="s">
        <v>617</v>
      </c>
    </row>
    <row r="11" spans="1:8" x14ac:dyDescent="0.2">
      <c r="A11" s="16" t="s">
        <v>618</v>
      </c>
      <c r="B11" s="16" t="s">
        <v>619</v>
      </c>
      <c r="C11" s="16"/>
      <c r="D11" s="16"/>
      <c r="E11" s="16"/>
      <c r="F11" s="16"/>
      <c r="G11" s="16"/>
      <c r="H11" s="16"/>
    </row>
    <row r="12" spans="1:8" ht="31.5" customHeight="1" x14ac:dyDescent="0.2">
      <c r="A12" s="17" t="s">
        <v>618</v>
      </c>
      <c r="B12" s="17" t="s">
        <v>619</v>
      </c>
      <c r="C12" s="18" t="s">
        <v>620</v>
      </c>
      <c r="D12" s="19" t="s">
        <v>621</v>
      </c>
      <c r="E12" s="20">
        <v>2</v>
      </c>
      <c r="F12" s="21" t="s">
        <v>45</v>
      </c>
      <c r="G12" s="19" t="s">
        <v>622</v>
      </c>
      <c r="H12" s="19" t="s">
        <v>445</v>
      </c>
    </row>
    <row r="13" spans="1:8" ht="48" customHeight="1" x14ac:dyDescent="0.2">
      <c r="A13" s="24" t="s">
        <v>618</v>
      </c>
      <c r="B13" s="24" t="s">
        <v>619</v>
      </c>
      <c r="C13" s="25" t="s">
        <v>623</v>
      </c>
      <c r="D13" s="26" t="s">
        <v>624</v>
      </c>
      <c r="E13" s="20">
        <v>2</v>
      </c>
      <c r="F13" s="21" t="s">
        <v>45</v>
      </c>
      <c r="G13" s="26" t="s">
        <v>625</v>
      </c>
      <c r="H13" s="26" t="s">
        <v>626</v>
      </c>
    </row>
    <row r="14" spans="1:8" x14ac:dyDescent="0.2">
      <c r="A14" s="16" t="s">
        <v>627</v>
      </c>
      <c r="B14" s="16" t="s">
        <v>628</v>
      </c>
      <c r="C14" s="16"/>
      <c r="D14" s="16"/>
      <c r="E14" s="16"/>
      <c r="F14" s="16"/>
      <c r="G14" s="16"/>
      <c r="H14" s="16"/>
    </row>
    <row r="15" spans="1:8" ht="111.75" customHeight="1" x14ac:dyDescent="0.2">
      <c r="A15" s="17" t="s">
        <v>627</v>
      </c>
      <c r="B15" s="17" t="s">
        <v>628</v>
      </c>
      <c r="C15" s="18" t="s">
        <v>629</v>
      </c>
      <c r="D15" s="19" t="s">
        <v>630</v>
      </c>
      <c r="E15" s="29">
        <v>1</v>
      </c>
      <c r="F15" s="21" t="s">
        <v>45</v>
      </c>
      <c r="G15" s="19" t="s">
        <v>1160</v>
      </c>
      <c r="H15" s="19" t="s">
        <v>617</v>
      </c>
    </row>
    <row r="16" spans="1:8" ht="31.5" customHeight="1" x14ac:dyDescent="0.2">
      <c r="A16" s="24" t="s">
        <v>627</v>
      </c>
      <c r="B16" s="24" t="s">
        <v>628</v>
      </c>
      <c r="C16" s="25" t="s">
        <v>631</v>
      </c>
      <c r="D16" s="26" t="s">
        <v>632</v>
      </c>
      <c r="E16" s="29">
        <v>1</v>
      </c>
      <c r="F16" s="21" t="s">
        <v>399</v>
      </c>
      <c r="G16" s="26"/>
      <c r="H16" s="26"/>
    </row>
    <row r="17" spans="1:8" ht="63.75" customHeight="1" x14ac:dyDescent="0.2">
      <c r="A17" s="17" t="s">
        <v>627</v>
      </c>
      <c r="B17" s="17" t="s">
        <v>628</v>
      </c>
      <c r="C17" s="18" t="s">
        <v>633</v>
      </c>
      <c r="D17" s="19" t="s">
        <v>634</v>
      </c>
      <c r="E17" s="20">
        <v>2</v>
      </c>
      <c r="F17" s="21" t="s">
        <v>399</v>
      </c>
      <c r="G17" s="19"/>
      <c r="H17" s="19"/>
    </row>
    <row r="18" spans="1:8" ht="31.5" customHeight="1" x14ac:dyDescent="0.2">
      <c r="A18" s="24" t="s">
        <v>627</v>
      </c>
      <c r="B18" s="24" t="s">
        <v>628</v>
      </c>
      <c r="C18" s="25" t="s">
        <v>635</v>
      </c>
      <c r="D18" s="26" t="s">
        <v>636</v>
      </c>
      <c r="E18" s="20">
        <v>2</v>
      </c>
      <c r="F18" s="21" t="s">
        <v>60</v>
      </c>
      <c r="G18" s="26" t="s">
        <v>637</v>
      </c>
      <c r="H18" s="26"/>
    </row>
    <row r="19" spans="1:8" ht="31.5" customHeight="1" x14ac:dyDescent="0.2">
      <c r="A19" s="17" t="s">
        <v>627</v>
      </c>
      <c r="B19" s="17" t="s">
        <v>628</v>
      </c>
      <c r="C19" s="18" t="s">
        <v>638</v>
      </c>
      <c r="D19" s="19" t="s">
        <v>639</v>
      </c>
      <c r="E19" s="20">
        <v>2</v>
      </c>
      <c r="F19" s="21" t="s">
        <v>45</v>
      </c>
      <c r="G19" s="19" t="s">
        <v>640</v>
      </c>
      <c r="H19" s="19" t="s">
        <v>641</v>
      </c>
    </row>
    <row r="20" spans="1:8" x14ac:dyDescent="0.2">
      <c r="A20" s="16" t="s">
        <v>642</v>
      </c>
      <c r="B20" s="16" t="s">
        <v>643</v>
      </c>
      <c r="C20" s="16"/>
      <c r="D20" s="16"/>
      <c r="E20" s="16"/>
      <c r="F20" s="16"/>
      <c r="G20" s="16"/>
      <c r="H20" s="16"/>
    </row>
    <row r="21" spans="1:8" ht="63.75" customHeight="1" x14ac:dyDescent="0.2">
      <c r="A21" s="17" t="s">
        <v>642</v>
      </c>
      <c r="B21" s="17" t="s">
        <v>643</v>
      </c>
      <c r="C21" s="18" t="s">
        <v>644</v>
      </c>
      <c r="D21" s="19" t="s">
        <v>645</v>
      </c>
      <c r="E21" s="20">
        <v>2</v>
      </c>
      <c r="F21" s="21" t="s">
        <v>60</v>
      </c>
      <c r="G21" s="19" t="s">
        <v>1161</v>
      </c>
      <c r="H21" s="19"/>
    </row>
    <row r="22" spans="1:8" ht="31.5" customHeight="1" x14ac:dyDescent="0.2">
      <c r="A22" s="24" t="s">
        <v>642</v>
      </c>
      <c r="B22" s="24" t="s">
        <v>643</v>
      </c>
      <c r="C22" s="25" t="s">
        <v>646</v>
      </c>
      <c r="D22" s="26" t="s">
        <v>647</v>
      </c>
      <c r="E22" s="20">
        <v>2</v>
      </c>
      <c r="F22" s="21" t="s">
        <v>399</v>
      </c>
      <c r="G22" s="26"/>
      <c r="H22" s="26"/>
    </row>
    <row r="23" spans="1:8" ht="48" customHeight="1" x14ac:dyDescent="0.2">
      <c r="A23" s="17" t="s">
        <v>642</v>
      </c>
      <c r="B23" s="17" t="s">
        <v>643</v>
      </c>
      <c r="C23" s="18" t="s">
        <v>648</v>
      </c>
      <c r="D23" s="19" t="s">
        <v>649</v>
      </c>
      <c r="E23" s="30">
        <v>3</v>
      </c>
      <c r="F23" s="21" t="s">
        <v>399</v>
      </c>
      <c r="G23" s="19"/>
      <c r="H23" s="19"/>
    </row>
    <row r="24" spans="1:8" x14ac:dyDescent="0.2">
      <c r="A24" s="16" t="s">
        <v>650</v>
      </c>
      <c r="B24" s="16" t="s">
        <v>651</v>
      </c>
      <c r="C24" s="16"/>
      <c r="D24" s="16"/>
      <c r="E24" s="16"/>
      <c r="F24" s="16"/>
      <c r="G24" s="16"/>
      <c r="H24" s="16"/>
    </row>
    <row r="25" spans="1:8" ht="63.75" customHeight="1" x14ac:dyDescent="0.2">
      <c r="A25" s="17" t="s">
        <v>650</v>
      </c>
      <c r="B25" s="17" t="s">
        <v>651</v>
      </c>
      <c r="C25" s="18" t="s">
        <v>652</v>
      </c>
      <c r="D25" s="19" t="s">
        <v>653</v>
      </c>
      <c r="E25" s="20">
        <v>2</v>
      </c>
      <c r="F25" s="21" t="s">
        <v>60</v>
      </c>
      <c r="G25" s="19"/>
      <c r="H25" s="19"/>
    </row>
    <row r="26" spans="1:8" ht="48" customHeight="1" x14ac:dyDescent="0.2">
      <c r="A26" s="24" t="s">
        <v>650</v>
      </c>
      <c r="B26" s="24" t="s">
        <v>651</v>
      </c>
      <c r="C26" s="25" t="s">
        <v>654</v>
      </c>
      <c r="D26" s="26" t="s">
        <v>655</v>
      </c>
      <c r="E26" s="20">
        <v>2</v>
      </c>
      <c r="F26" s="21" t="s">
        <v>45</v>
      </c>
      <c r="G26" s="26" t="s">
        <v>656</v>
      </c>
      <c r="H26" s="26"/>
    </row>
  </sheetData>
  <conditionalFormatting sqref="F2:F26">
    <cfRule type="cellIs" dxfId="32" priority="2" operator="equal">
      <formula>"Compliant"</formula>
    </cfRule>
    <cfRule type="cellIs" dxfId="31" priority="3" operator="equal">
      <formula>"In Progress"</formula>
    </cfRule>
    <cfRule type="cellIs" dxfId="30"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Normal="100" workbookViewId="0">
      <pane ySplit="1" topLeftCell="A11" activePane="bottomLeft" state="frozen"/>
      <selection pane="bottomLeft" activeCell="G18" sqref="G18"/>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
      <c r="A1" s="15" t="s">
        <v>33</v>
      </c>
      <c r="B1" s="15" t="s">
        <v>34</v>
      </c>
      <c r="C1" s="15" t="s">
        <v>35</v>
      </c>
      <c r="D1" s="15" t="s">
        <v>36</v>
      </c>
      <c r="E1" s="15" t="s">
        <v>37</v>
      </c>
      <c r="F1" s="15" t="s">
        <v>38</v>
      </c>
      <c r="G1" s="15" t="s">
        <v>39</v>
      </c>
      <c r="H1" s="15" t="s">
        <v>40</v>
      </c>
    </row>
    <row r="2" spans="1:8" x14ac:dyDescent="0.2">
      <c r="A2" s="16" t="s">
        <v>657</v>
      </c>
      <c r="B2" s="16" t="s">
        <v>658</v>
      </c>
      <c r="C2" s="16"/>
      <c r="D2" s="16"/>
      <c r="E2" s="16"/>
      <c r="F2" s="16"/>
      <c r="G2" s="16"/>
      <c r="H2" s="16"/>
    </row>
    <row r="3" spans="1:8" ht="48" customHeight="1" x14ac:dyDescent="0.2">
      <c r="A3" s="17" t="s">
        <v>657</v>
      </c>
      <c r="B3" s="17" t="s">
        <v>658</v>
      </c>
      <c r="C3" s="18" t="s">
        <v>659</v>
      </c>
      <c r="D3" s="19" t="s">
        <v>660</v>
      </c>
      <c r="E3" s="29">
        <v>1</v>
      </c>
      <c r="F3" s="21" t="s">
        <v>45</v>
      </c>
      <c r="G3" s="19" t="s">
        <v>661</v>
      </c>
      <c r="H3" s="19" t="s">
        <v>662</v>
      </c>
    </row>
    <row r="4" spans="1:8" ht="63.75" customHeight="1" x14ac:dyDescent="0.2">
      <c r="A4" s="24" t="s">
        <v>657</v>
      </c>
      <c r="B4" s="24" t="s">
        <v>658</v>
      </c>
      <c r="C4" s="25" t="s">
        <v>663</v>
      </c>
      <c r="D4" s="26" t="s">
        <v>664</v>
      </c>
      <c r="E4" s="20">
        <v>2</v>
      </c>
      <c r="F4" s="21" t="s">
        <v>45</v>
      </c>
      <c r="G4" s="19" t="s">
        <v>665</v>
      </c>
      <c r="H4" s="19" t="s">
        <v>666</v>
      </c>
    </row>
    <row r="5" spans="1:8" ht="79.5" customHeight="1" x14ac:dyDescent="0.2">
      <c r="A5" s="17" t="s">
        <v>657</v>
      </c>
      <c r="B5" s="17" t="s">
        <v>658</v>
      </c>
      <c r="C5" s="18" t="s">
        <v>667</v>
      </c>
      <c r="D5" s="19" t="s">
        <v>668</v>
      </c>
      <c r="E5" s="30">
        <v>3</v>
      </c>
      <c r="F5" s="21" t="s">
        <v>60</v>
      </c>
      <c r="G5" s="19"/>
      <c r="H5" s="19"/>
    </row>
    <row r="6" spans="1:8" ht="79.5" customHeight="1" x14ac:dyDescent="0.2">
      <c r="A6" s="24" t="s">
        <v>657</v>
      </c>
      <c r="B6" s="24" t="s">
        <v>658</v>
      </c>
      <c r="C6" s="25" t="s">
        <v>669</v>
      </c>
      <c r="D6" s="26" t="s">
        <v>670</v>
      </c>
      <c r="E6" s="30">
        <v>3</v>
      </c>
      <c r="F6" s="21" t="s">
        <v>60</v>
      </c>
      <c r="G6" s="19"/>
      <c r="H6" s="19"/>
    </row>
    <row r="7" spans="1:8" x14ac:dyDescent="0.2">
      <c r="A7" s="16" t="s">
        <v>671</v>
      </c>
      <c r="B7" s="16" t="s">
        <v>672</v>
      </c>
      <c r="C7" s="16"/>
      <c r="D7" s="16"/>
      <c r="E7" s="16"/>
      <c r="F7" s="16"/>
      <c r="G7" s="16"/>
      <c r="H7" s="16"/>
    </row>
    <row r="8" spans="1:8" ht="31.5" customHeight="1" x14ac:dyDescent="0.2">
      <c r="A8" s="17" t="s">
        <v>671</v>
      </c>
      <c r="B8" s="17" t="s">
        <v>672</v>
      </c>
      <c r="C8" s="18" t="s">
        <v>673</v>
      </c>
      <c r="D8" s="19" t="s">
        <v>674</v>
      </c>
      <c r="E8" s="29">
        <v>1</v>
      </c>
      <c r="F8" s="21" t="s">
        <v>45</v>
      </c>
      <c r="G8" s="19" t="s">
        <v>675</v>
      </c>
      <c r="H8" s="19" t="s">
        <v>676</v>
      </c>
    </row>
    <row r="9" spans="1:8" ht="63.75" customHeight="1" x14ac:dyDescent="0.2">
      <c r="A9" s="24" t="s">
        <v>671</v>
      </c>
      <c r="B9" s="24" t="s">
        <v>672</v>
      </c>
      <c r="C9" s="25" t="s">
        <v>677</v>
      </c>
      <c r="D9" s="26" t="s">
        <v>678</v>
      </c>
      <c r="E9" s="29">
        <v>1</v>
      </c>
      <c r="F9" s="21" t="s">
        <v>45</v>
      </c>
      <c r="G9" s="26" t="s">
        <v>679</v>
      </c>
      <c r="H9" s="19" t="s">
        <v>676</v>
      </c>
    </row>
    <row r="10" spans="1:8" ht="48" customHeight="1" x14ac:dyDescent="0.2">
      <c r="A10" s="17" t="s">
        <v>671</v>
      </c>
      <c r="B10" s="17" t="s">
        <v>672</v>
      </c>
      <c r="C10" s="18" t="s">
        <v>680</v>
      </c>
      <c r="D10" s="19" t="s">
        <v>681</v>
      </c>
      <c r="E10" s="20">
        <v>2</v>
      </c>
      <c r="F10" s="21" t="s">
        <v>45</v>
      </c>
      <c r="G10" s="26" t="s">
        <v>679</v>
      </c>
      <c r="H10" s="19" t="s">
        <v>676</v>
      </c>
    </row>
    <row r="11" spans="1:8" ht="96" customHeight="1" x14ac:dyDescent="0.2">
      <c r="A11" s="24" t="s">
        <v>671</v>
      </c>
      <c r="B11" s="24" t="s">
        <v>672</v>
      </c>
      <c r="C11" s="25" t="s">
        <v>682</v>
      </c>
      <c r="D11" s="26" t="s">
        <v>683</v>
      </c>
      <c r="E11" s="30">
        <v>3</v>
      </c>
      <c r="F11" s="21" t="s">
        <v>60</v>
      </c>
      <c r="G11" s="26"/>
      <c r="H11" s="26"/>
    </row>
    <row r="12" spans="1:8" x14ac:dyDescent="0.2">
      <c r="A12" s="16" t="s">
        <v>684</v>
      </c>
      <c r="B12" s="16" t="s">
        <v>685</v>
      </c>
      <c r="C12" s="16"/>
      <c r="D12" s="16"/>
      <c r="E12" s="16"/>
      <c r="F12" s="16"/>
      <c r="G12" s="16"/>
      <c r="H12" s="16"/>
    </row>
    <row r="13" spans="1:8" ht="48" customHeight="1" x14ac:dyDescent="0.2">
      <c r="A13" s="17" t="s">
        <v>684</v>
      </c>
      <c r="B13" s="17" t="s">
        <v>685</v>
      </c>
      <c r="C13" s="18" t="s">
        <v>686</v>
      </c>
      <c r="D13" s="19" t="s">
        <v>687</v>
      </c>
      <c r="E13" s="29">
        <v>1</v>
      </c>
      <c r="F13" s="21" t="s">
        <v>45</v>
      </c>
      <c r="G13" s="19" t="s">
        <v>688</v>
      </c>
      <c r="H13" s="19" t="s">
        <v>676</v>
      </c>
    </row>
    <row r="14" spans="1:8" ht="96" customHeight="1" x14ac:dyDescent="0.2">
      <c r="A14" s="24" t="s">
        <v>684</v>
      </c>
      <c r="B14" s="24" t="s">
        <v>685</v>
      </c>
      <c r="C14" s="25" t="s">
        <v>689</v>
      </c>
      <c r="D14" s="26" t="s">
        <v>690</v>
      </c>
      <c r="E14" s="30">
        <v>3</v>
      </c>
      <c r="F14" s="21" t="s">
        <v>45</v>
      </c>
      <c r="G14" s="26" t="s">
        <v>691</v>
      </c>
      <c r="H14" s="19" t="s">
        <v>692</v>
      </c>
    </row>
    <row r="15" spans="1:8" ht="111.75" customHeight="1" x14ac:dyDescent="0.2">
      <c r="A15" s="17" t="s">
        <v>684</v>
      </c>
      <c r="B15" s="17" t="s">
        <v>685</v>
      </c>
      <c r="C15" s="18" t="s">
        <v>693</v>
      </c>
      <c r="D15" s="19" t="s">
        <v>694</v>
      </c>
      <c r="E15" s="30">
        <v>3</v>
      </c>
      <c r="F15" s="21" t="s">
        <v>60</v>
      </c>
      <c r="G15" s="19" t="s">
        <v>695</v>
      </c>
      <c r="H15" s="19"/>
    </row>
    <row r="16" spans="1:8" x14ac:dyDescent="0.2">
      <c r="A16" s="16" t="s">
        <v>696</v>
      </c>
      <c r="B16" s="16" t="s">
        <v>697</v>
      </c>
      <c r="C16" s="16"/>
      <c r="D16" s="16"/>
      <c r="E16" s="16"/>
      <c r="F16" s="16"/>
      <c r="G16" s="16"/>
      <c r="H16" s="16"/>
    </row>
    <row r="17" spans="1:8" ht="48" customHeight="1" x14ac:dyDescent="0.2">
      <c r="A17" s="17" t="s">
        <v>696</v>
      </c>
      <c r="B17" s="17" t="s">
        <v>697</v>
      </c>
      <c r="C17" s="18" t="s">
        <v>698</v>
      </c>
      <c r="D17" s="19" t="s">
        <v>699</v>
      </c>
      <c r="E17" s="20">
        <v>2</v>
      </c>
      <c r="F17" s="21" t="s">
        <v>60</v>
      </c>
      <c r="G17" s="19" t="s">
        <v>700</v>
      </c>
      <c r="H17" s="19"/>
    </row>
    <row r="18" spans="1:8" ht="96" customHeight="1" x14ac:dyDescent="0.2">
      <c r="A18" s="24" t="s">
        <v>696</v>
      </c>
      <c r="B18" s="24" t="s">
        <v>697</v>
      </c>
      <c r="C18" s="25" t="s">
        <v>701</v>
      </c>
      <c r="D18" s="26" t="s">
        <v>702</v>
      </c>
      <c r="E18" s="30">
        <v>3</v>
      </c>
      <c r="F18" s="21" t="s">
        <v>60</v>
      </c>
      <c r="G18" s="26" t="s">
        <v>703</v>
      </c>
      <c r="H18" s="19" t="s">
        <v>692</v>
      </c>
    </row>
  </sheetData>
  <conditionalFormatting sqref="F2:F18">
    <cfRule type="cellIs" dxfId="29" priority="2" operator="equal">
      <formula>"Compliant"</formula>
    </cfRule>
    <cfRule type="cellIs" dxfId="28" priority="3" operator="equal">
      <formula>"In Progress"</formula>
    </cfRule>
    <cfRule type="cellIs" dxfId="27"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Normal="100" workbookViewId="0">
      <pane ySplit="1" topLeftCell="A2" activePane="bottomLeft" state="frozen"/>
      <selection pane="bottomLeft" activeCell="G11" sqref="G11"/>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
      <c r="A1" s="15" t="s">
        <v>33</v>
      </c>
      <c r="B1" s="15" t="s">
        <v>34</v>
      </c>
      <c r="C1" s="15" t="s">
        <v>35</v>
      </c>
      <c r="D1" s="15" t="s">
        <v>36</v>
      </c>
      <c r="E1" s="15" t="s">
        <v>37</v>
      </c>
      <c r="F1" s="15" t="s">
        <v>38</v>
      </c>
      <c r="G1" s="15" t="s">
        <v>39</v>
      </c>
      <c r="H1" s="15" t="s">
        <v>40</v>
      </c>
    </row>
    <row r="2" spans="1:8" x14ac:dyDescent="0.2">
      <c r="A2" s="16" t="s">
        <v>704</v>
      </c>
      <c r="B2" s="16" t="s">
        <v>705</v>
      </c>
      <c r="C2" s="16"/>
      <c r="D2" s="16"/>
      <c r="E2" s="16"/>
      <c r="F2" s="16"/>
      <c r="G2" s="16"/>
      <c r="H2" s="16"/>
    </row>
    <row r="3" spans="1:8" ht="31.5" customHeight="1" x14ac:dyDescent="0.2">
      <c r="A3" s="17" t="s">
        <v>704</v>
      </c>
      <c r="B3" s="17" t="s">
        <v>705</v>
      </c>
      <c r="C3" s="18" t="s">
        <v>706</v>
      </c>
      <c r="D3" s="19" t="s">
        <v>707</v>
      </c>
      <c r="E3" s="29">
        <v>1</v>
      </c>
      <c r="F3" s="21" t="s">
        <v>45</v>
      </c>
      <c r="G3" s="19" t="s">
        <v>708</v>
      </c>
      <c r="H3" s="19" t="s">
        <v>607</v>
      </c>
    </row>
    <row r="4" spans="1:8" ht="96" customHeight="1" x14ac:dyDescent="0.2">
      <c r="A4" s="24" t="s">
        <v>704</v>
      </c>
      <c r="B4" s="24" t="s">
        <v>705</v>
      </c>
      <c r="C4" s="25" t="s">
        <v>709</v>
      </c>
      <c r="D4" s="26" t="s">
        <v>710</v>
      </c>
      <c r="E4" s="29">
        <v>1</v>
      </c>
      <c r="F4" s="21" t="s">
        <v>45</v>
      </c>
      <c r="G4" s="26" t="s">
        <v>711</v>
      </c>
      <c r="H4" s="19" t="s">
        <v>146</v>
      </c>
    </row>
    <row r="5" spans="1:8" ht="79.5" customHeight="1" x14ac:dyDescent="0.2">
      <c r="A5" s="17" t="s">
        <v>704</v>
      </c>
      <c r="B5" s="17" t="s">
        <v>705</v>
      </c>
      <c r="C5" s="18" t="s">
        <v>712</v>
      </c>
      <c r="D5" s="19" t="s">
        <v>713</v>
      </c>
      <c r="E5" s="29">
        <v>1</v>
      </c>
      <c r="F5" s="21" t="s">
        <v>45</v>
      </c>
      <c r="G5" s="26" t="s">
        <v>714</v>
      </c>
      <c r="H5" s="19" t="s">
        <v>146</v>
      </c>
    </row>
    <row r="6" spans="1:8" x14ac:dyDescent="0.2">
      <c r="A6" s="16" t="s">
        <v>715</v>
      </c>
      <c r="B6" s="16" t="s">
        <v>716</v>
      </c>
      <c r="C6" s="16"/>
      <c r="D6" s="16"/>
      <c r="E6" s="16"/>
      <c r="F6" s="16"/>
      <c r="G6" s="16"/>
      <c r="H6" s="16"/>
    </row>
    <row r="7" spans="1:8" ht="48" customHeight="1" x14ac:dyDescent="0.2">
      <c r="A7" s="17" t="s">
        <v>715</v>
      </c>
      <c r="B7" s="17" t="s">
        <v>716</v>
      </c>
      <c r="C7" s="18" t="s">
        <v>717</v>
      </c>
      <c r="D7" s="19" t="s">
        <v>718</v>
      </c>
      <c r="E7" s="29">
        <v>1</v>
      </c>
      <c r="F7" s="21" t="s">
        <v>45</v>
      </c>
      <c r="G7" s="19" t="s">
        <v>719</v>
      </c>
      <c r="H7" s="19" t="s">
        <v>583</v>
      </c>
    </row>
    <row r="8" spans="1:8" ht="63.75" customHeight="1" x14ac:dyDescent="0.2">
      <c r="A8" s="24" t="s">
        <v>715</v>
      </c>
      <c r="B8" s="24" t="s">
        <v>716</v>
      </c>
      <c r="C8" s="25" t="s">
        <v>720</v>
      </c>
      <c r="D8" s="26" t="s">
        <v>721</v>
      </c>
      <c r="E8" s="20">
        <v>2</v>
      </c>
      <c r="F8" s="21" t="s">
        <v>45</v>
      </c>
      <c r="G8" s="26" t="s">
        <v>722</v>
      </c>
      <c r="H8" s="26" t="s">
        <v>607</v>
      </c>
    </row>
    <row r="9" spans="1:8" ht="48" customHeight="1" x14ac:dyDescent="0.2">
      <c r="A9" s="17" t="s">
        <v>715</v>
      </c>
      <c r="B9" s="17" t="s">
        <v>716</v>
      </c>
      <c r="C9" s="18" t="s">
        <v>723</v>
      </c>
      <c r="D9" s="19" t="s">
        <v>724</v>
      </c>
      <c r="E9" s="20">
        <v>2</v>
      </c>
      <c r="F9" s="21" t="s">
        <v>60</v>
      </c>
      <c r="G9" s="19" t="s">
        <v>725</v>
      </c>
      <c r="H9" s="19"/>
    </row>
    <row r="10" spans="1:8" ht="96" customHeight="1" x14ac:dyDescent="0.2">
      <c r="A10" s="24" t="s">
        <v>715</v>
      </c>
      <c r="B10" s="24" t="s">
        <v>716</v>
      </c>
      <c r="C10" s="25" t="s">
        <v>726</v>
      </c>
      <c r="D10" s="26" t="s">
        <v>727</v>
      </c>
      <c r="E10" s="20">
        <v>2</v>
      </c>
      <c r="F10" s="21" t="s">
        <v>60</v>
      </c>
      <c r="G10" s="26" t="s">
        <v>728</v>
      </c>
      <c r="H10" s="26"/>
    </row>
  </sheetData>
  <conditionalFormatting sqref="F2:F10">
    <cfRule type="cellIs" dxfId="26" priority="2" operator="equal">
      <formula>"Compliant"</formula>
    </cfRule>
    <cfRule type="cellIs" dxfId="25" priority="3" operator="equal">
      <formula>"In Progress"</formula>
    </cfRule>
    <cfRule type="cellIs" dxfId="24"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Normal="100" workbookViewId="0">
      <pane ySplit="1" topLeftCell="A2" activePane="bottomLeft" state="frozen"/>
      <selection pane="bottomLeft" activeCell="F44" sqref="F44"/>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
      <c r="A1" s="15" t="s">
        <v>33</v>
      </c>
      <c r="B1" s="15" t="s">
        <v>34</v>
      </c>
      <c r="C1" s="15" t="s">
        <v>35</v>
      </c>
      <c r="D1" s="15" t="s">
        <v>36</v>
      </c>
      <c r="E1" s="15" t="s">
        <v>37</v>
      </c>
      <c r="F1" s="15" t="s">
        <v>38</v>
      </c>
      <c r="G1" s="15" t="s">
        <v>39</v>
      </c>
      <c r="H1" s="15" t="s">
        <v>40</v>
      </c>
    </row>
    <row r="2" spans="1:8" x14ac:dyDescent="0.2">
      <c r="A2" s="16" t="s">
        <v>729</v>
      </c>
      <c r="B2" s="16" t="s">
        <v>730</v>
      </c>
      <c r="C2" s="16"/>
      <c r="D2" s="16"/>
      <c r="E2" s="16"/>
      <c r="F2" s="16"/>
      <c r="G2" s="16"/>
      <c r="H2" s="16"/>
    </row>
    <row r="3" spans="1:8" ht="63.75" customHeight="1" x14ac:dyDescent="0.2">
      <c r="A3" s="17" t="s">
        <v>729</v>
      </c>
      <c r="B3" s="17" t="s">
        <v>730</v>
      </c>
      <c r="C3" s="18" t="s">
        <v>731</v>
      </c>
      <c r="D3" s="19" t="s">
        <v>732</v>
      </c>
      <c r="E3" s="20">
        <v>2</v>
      </c>
      <c r="F3" s="21" t="s">
        <v>60</v>
      </c>
      <c r="G3" s="19"/>
      <c r="H3" s="19"/>
    </row>
    <row r="4" spans="1:8" ht="111.75" customHeight="1" x14ac:dyDescent="0.2">
      <c r="A4" s="24" t="s">
        <v>729</v>
      </c>
      <c r="B4" s="24" t="s">
        <v>730</v>
      </c>
      <c r="C4" s="25" t="s">
        <v>733</v>
      </c>
      <c r="D4" s="26" t="s">
        <v>734</v>
      </c>
      <c r="E4" s="20">
        <v>2</v>
      </c>
      <c r="F4" s="21" t="s">
        <v>60</v>
      </c>
      <c r="G4" s="26"/>
      <c r="H4" s="26"/>
    </row>
    <row r="5" spans="1:8" x14ac:dyDescent="0.2">
      <c r="A5" s="16" t="s">
        <v>735</v>
      </c>
      <c r="B5" s="16" t="s">
        <v>736</v>
      </c>
      <c r="C5" s="16"/>
      <c r="D5" s="16"/>
      <c r="E5" s="16"/>
      <c r="F5" s="16"/>
      <c r="G5" s="16"/>
      <c r="H5" s="16"/>
    </row>
    <row r="6" spans="1:8" ht="79.5" customHeight="1" x14ac:dyDescent="0.2">
      <c r="A6" s="17" t="s">
        <v>735</v>
      </c>
      <c r="B6" s="17" t="s">
        <v>736</v>
      </c>
      <c r="C6" s="18" t="s">
        <v>737</v>
      </c>
      <c r="D6" s="19" t="s">
        <v>738</v>
      </c>
      <c r="E6" s="20">
        <v>2</v>
      </c>
      <c r="F6" s="21" t="s">
        <v>60</v>
      </c>
      <c r="G6" s="19"/>
      <c r="H6" s="19"/>
    </row>
    <row r="7" spans="1:8" ht="63.75" customHeight="1" x14ac:dyDescent="0.2">
      <c r="A7" s="24" t="s">
        <v>735</v>
      </c>
      <c r="B7" s="24" t="s">
        <v>736</v>
      </c>
      <c r="C7" s="25" t="s">
        <v>739</v>
      </c>
      <c r="D7" s="26" t="s">
        <v>740</v>
      </c>
      <c r="E7" s="20">
        <v>2</v>
      </c>
      <c r="F7" s="21" t="s">
        <v>60</v>
      </c>
      <c r="G7" s="26"/>
      <c r="H7" s="26"/>
    </row>
    <row r="8" spans="1:8" ht="31.5" customHeight="1" x14ac:dyDescent="0.2">
      <c r="A8" s="17" t="s">
        <v>735</v>
      </c>
      <c r="B8" s="17" t="s">
        <v>736</v>
      </c>
      <c r="C8" s="18" t="s">
        <v>741</v>
      </c>
      <c r="D8" s="19" t="s">
        <v>742</v>
      </c>
      <c r="E8" s="30">
        <v>3</v>
      </c>
      <c r="F8" s="21" t="s">
        <v>60</v>
      </c>
      <c r="G8" s="19"/>
      <c r="H8" s="19"/>
    </row>
    <row r="9" spans="1:8" x14ac:dyDescent="0.2">
      <c r="A9" s="16" t="s">
        <v>743</v>
      </c>
      <c r="B9" s="16" t="s">
        <v>744</v>
      </c>
      <c r="C9" s="16"/>
      <c r="D9" s="16"/>
      <c r="E9" s="16"/>
      <c r="F9" s="16"/>
      <c r="G9" s="16"/>
      <c r="H9" s="16"/>
    </row>
    <row r="10" spans="1:8" ht="63.75" customHeight="1" x14ac:dyDescent="0.2">
      <c r="A10" s="17" t="s">
        <v>743</v>
      </c>
      <c r="B10" s="17" t="s">
        <v>744</v>
      </c>
      <c r="C10" s="18" t="s">
        <v>745</v>
      </c>
      <c r="D10" s="19" t="s">
        <v>746</v>
      </c>
      <c r="E10" s="20">
        <v>2</v>
      </c>
      <c r="F10" s="21" t="s">
        <v>60</v>
      </c>
      <c r="G10" s="19"/>
      <c r="H10" s="19"/>
    </row>
    <row r="11" spans="1:8" ht="63.75" customHeight="1" x14ac:dyDescent="0.2">
      <c r="A11" s="24" t="s">
        <v>743</v>
      </c>
      <c r="B11" s="24" t="s">
        <v>744</v>
      </c>
      <c r="C11" s="25" t="s">
        <v>747</v>
      </c>
      <c r="D11" s="26" t="s">
        <v>748</v>
      </c>
      <c r="E11" s="20">
        <v>2</v>
      </c>
      <c r="F11" s="21" t="s">
        <v>60</v>
      </c>
      <c r="G11" s="26"/>
      <c r="H11" s="26"/>
    </row>
    <row r="12" spans="1:8" ht="63.75" customHeight="1" x14ac:dyDescent="0.2">
      <c r="A12" s="17" t="s">
        <v>743</v>
      </c>
      <c r="B12" s="17" t="s">
        <v>744</v>
      </c>
      <c r="C12" s="18" t="s">
        <v>749</v>
      </c>
      <c r="D12" s="19" t="s">
        <v>750</v>
      </c>
      <c r="E12" s="20">
        <v>2</v>
      </c>
      <c r="F12" s="21" t="s">
        <v>60</v>
      </c>
      <c r="G12" s="19"/>
      <c r="H12" s="19"/>
    </row>
    <row r="13" spans="1:8" ht="63.75" customHeight="1" x14ac:dyDescent="0.2">
      <c r="A13" s="24" t="s">
        <v>743</v>
      </c>
      <c r="B13" s="24" t="s">
        <v>744</v>
      </c>
      <c r="C13" s="25" t="s">
        <v>751</v>
      </c>
      <c r="D13" s="26" t="s">
        <v>752</v>
      </c>
      <c r="E13" s="20">
        <v>2</v>
      </c>
      <c r="F13" s="21" t="s">
        <v>60</v>
      </c>
      <c r="G13" s="26"/>
      <c r="H13" s="26"/>
    </row>
    <row r="14" spans="1:8" ht="63.75" customHeight="1" x14ac:dyDescent="0.2">
      <c r="A14" s="17" t="s">
        <v>743</v>
      </c>
      <c r="B14" s="17" t="s">
        <v>744</v>
      </c>
      <c r="C14" s="18" t="s">
        <v>753</v>
      </c>
      <c r="D14" s="19" t="s">
        <v>754</v>
      </c>
      <c r="E14" s="30">
        <v>3</v>
      </c>
      <c r="F14" s="21" t="s">
        <v>60</v>
      </c>
      <c r="G14" s="19"/>
      <c r="H14" s="19"/>
    </row>
    <row r="15" spans="1:8" x14ac:dyDescent="0.2">
      <c r="A15" s="16" t="s">
        <v>755</v>
      </c>
      <c r="B15" s="16" t="s">
        <v>756</v>
      </c>
      <c r="C15" s="16"/>
      <c r="D15" s="16"/>
      <c r="E15" s="16"/>
      <c r="F15" s="16"/>
      <c r="G15" s="16"/>
      <c r="H15" s="16"/>
    </row>
    <row r="16" spans="1:8" ht="31.5" customHeight="1" x14ac:dyDescent="0.2">
      <c r="A16" s="17" t="s">
        <v>755</v>
      </c>
      <c r="B16" s="17" t="s">
        <v>756</v>
      </c>
      <c r="C16" s="18" t="s">
        <v>757</v>
      </c>
      <c r="D16" s="19" t="s">
        <v>758</v>
      </c>
      <c r="E16" s="29">
        <v>1</v>
      </c>
      <c r="F16" s="21" t="s">
        <v>60</v>
      </c>
      <c r="G16" s="19"/>
      <c r="H16" s="19"/>
    </row>
    <row r="17" spans="1:8" ht="79.5" customHeight="1" x14ac:dyDescent="0.2">
      <c r="A17" s="24" t="s">
        <v>755</v>
      </c>
      <c r="B17" s="24" t="s">
        <v>756</v>
      </c>
      <c r="C17" s="25" t="s">
        <v>759</v>
      </c>
      <c r="D17" s="26" t="s">
        <v>760</v>
      </c>
      <c r="E17" s="29">
        <v>1</v>
      </c>
      <c r="F17" s="21" t="s">
        <v>60</v>
      </c>
      <c r="G17" s="26"/>
      <c r="H17" s="26"/>
    </row>
    <row r="18" spans="1:8" ht="48" customHeight="1" x14ac:dyDescent="0.2">
      <c r="A18" s="17" t="s">
        <v>755</v>
      </c>
      <c r="B18" s="17" t="s">
        <v>756</v>
      </c>
      <c r="C18" s="18" t="s">
        <v>761</v>
      </c>
      <c r="D18" s="19" t="s">
        <v>762</v>
      </c>
      <c r="E18" s="29">
        <v>1</v>
      </c>
      <c r="F18" s="21" t="s">
        <v>60</v>
      </c>
      <c r="G18" s="19"/>
      <c r="H18" s="19"/>
    </row>
    <row r="19" spans="1:8" ht="63.75" customHeight="1" x14ac:dyDescent="0.2">
      <c r="A19" s="24" t="s">
        <v>755</v>
      </c>
      <c r="B19" s="24" t="s">
        <v>756</v>
      </c>
      <c r="C19" s="25" t="s">
        <v>763</v>
      </c>
      <c r="D19" s="26" t="s">
        <v>764</v>
      </c>
      <c r="E19" s="29">
        <v>1</v>
      </c>
      <c r="F19" s="21" t="s">
        <v>60</v>
      </c>
      <c r="G19" s="26"/>
      <c r="H19" s="26"/>
    </row>
    <row r="20" spans="1:8" ht="127.5" customHeight="1" x14ac:dyDescent="0.2">
      <c r="A20" s="17" t="s">
        <v>755</v>
      </c>
      <c r="B20" s="17" t="s">
        <v>756</v>
      </c>
      <c r="C20" s="18" t="s">
        <v>765</v>
      </c>
      <c r="D20" s="19" t="s">
        <v>766</v>
      </c>
      <c r="E20" s="29">
        <v>1</v>
      </c>
      <c r="F20" s="21" t="s">
        <v>60</v>
      </c>
      <c r="G20" s="19"/>
      <c r="H20" s="19"/>
    </row>
    <row r="21" spans="1:8" ht="96" customHeight="1" x14ac:dyDescent="0.2">
      <c r="A21" s="24" t="s">
        <v>755</v>
      </c>
      <c r="B21" s="24" t="s">
        <v>756</v>
      </c>
      <c r="C21" s="25" t="s">
        <v>767</v>
      </c>
      <c r="D21" s="26" t="s">
        <v>768</v>
      </c>
      <c r="E21" s="20">
        <v>2</v>
      </c>
      <c r="F21" s="21" t="s">
        <v>60</v>
      </c>
      <c r="G21" s="26"/>
      <c r="H21" s="26"/>
    </row>
    <row r="22" spans="1:8" ht="79.5" customHeight="1" x14ac:dyDescent="0.2">
      <c r="A22" s="17" t="s">
        <v>755</v>
      </c>
      <c r="B22" s="17" t="s">
        <v>756</v>
      </c>
      <c r="C22" s="18" t="s">
        <v>769</v>
      </c>
      <c r="D22" s="19" t="s">
        <v>770</v>
      </c>
      <c r="E22" s="20">
        <v>2</v>
      </c>
      <c r="F22" s="21" t="s">
        <v>60</v>
      </c>
      <c r="G22" s="19"/>
      <c r="H22" s="19"/>
    </row>
    <row r="23" spans="1:8" ht="31.5" customHeight="1" x14ac:dyDescent="0.2">
      <c r="A23" s="24" t="s">
        <v>755</v>
      </c>
      <c r="B23" s="24" t="s">
        <v>756</v>
      </c>
      <c r="C23" s="25" t="s">
        <v>771</v>
      </c>
      <c r="D23" s="26" t="s">
        <v>772</v>
      </c>
      <c r="E23" s="20">
        <v>2</v>
      </c>
      <c r="F23" s="21" t="s">
        <v>60</v>
      </c>
      <c r="G23" s="26"/>
      <c r="H23" s="26"/>
    </row>
    <row r="24" spans="1:8" ht="48" customHeight="1" x14ac:dyDescent="0.2">
      <c r="A24" s="17" t="s">
        <v>755</v>
      </c>
      <c r="B24" s="17" t="s">
        <v>756</v>
      </c>
      <c r="C24" s="18" t="s">
        <v>773</v>
      </c>
      <c r="D24" s="19" t="s">
        <v>774</v>
      </c>
      <c r="E24" s="20">
        <v>2</v>
      </c>
      <c r="F24" s="21" t="s">
        <v>60</v>
      </c>
      <c r="G24" s="19"/>
      <c r="H24" s="19"/>
    </row>
    <row r="25" spans="1:8" ht="48" customHeight="1" x14ac:dyDescent="0.2">
      <c r="A25" s="24" t="s">
        <v>755</v>
      </c>
      <c r="B25" s="24" t="s">
        <v>756</v>
      </c>
      <c r="C25" s="25" t="s">
        <v>775</v>
      </c>
      <c r="D25" s="26" t="s">
        <v>776</v>
      </c>
      <c r="E25" s="20">
        <v>2</v>
      </c>
      <c r="F25" s="21" t="s">
        <v>60</v>
      </c>
      <c r="G25" s="26"/>
      <c r="H25" s="26"/>
    </row>
    <row r="26" spans="1:8" ht="31.5" customHeight="1" x14ac:dyDescent="0.2">
      <c r="A26" s="17" t="s">
        <v>755</v>
      </c>
      <c r="B26" s="17" t="s">
        <v>756</v>
      </c>
      <c r="C26" s="18" t="s">
        <v>777</v>
      </c>
      <c r="D26" s="19" t="s">
        <v>778</v>
      </c>
      <c r="E26" s="20">
        <v>2</v>
      </c>
      <c r="F26" s="21" t="s">
        <v>60</v>
      </c>
      <c r="G26" s="19"/>
      <c r="H26" s="19"/>
    </row>
    <row r="27" spans="1:8" ht="79.5" customHeight="1" x14ac:dyDescent="0.2">
      <c r="A27" s="24" t="s">
        <v>755</v>
      </c>
      <c r="B27" s="24" t="s">
        <v>756</v>
      </c>
      <c r="C27" s="25" t="s">
        <v>779</v>
      </c>
      <c r="D27" s="26" t="s">
        <v>780</v>
      </c>
      <c r="E27" s="30">
        <v>3</v>
      </c>
      <c r="F27" s="21" t="s">
        <v>60</v>
      </c>
      <c r="G27" s="26"/>
      <c r="H27" s="26"/>
    </row>
    <row r="28" spans="1:8" ht="31.5" customHeight="1" x14ac:dyDescent="0.2">
      <c r="A28" s="17" t="s">
        <v>755</v>
      </c>
      <c r="B28" s="17" t="s">
        <v>756</v>
      </c>
      <c r="C28" s="18" t="s">
        <v>781</v>
      </c>
      <c r="D28" s="19" t="s">
        <v>782</v>
      </c>
      <c r="E28" s="30">
        <v>3</v>
      </c>
      <c r="F28" s="21" t="s">
        <v>60</v>
      </c>
      <c r="G28" s="19"/>
      <c r="H28" s="19"/>
    </row>
    <row r="29" spans="1:8" ht="63.75" customHeight="1" x14ac:dyDescent="0.2">
      <c r="A29" s="24" t="s">
        <v>755</v>
      </c>
      <c r="B29" s="24" t="s">
        <v>756</v>
      </c>
      <c r="C29" s="25" t="s">
        <v>783</v>
      </c>
      <c r="D29" s="26" t="s">
        <v>784</v>
      </c>
      <c r="E29" s="30">
        <v>3</v>
      </c>
      <c r="F29" s="21" t="s">
        <v>60</v>
      </c>
      <c r="G29" s="26"/>
      <c r="H29" s="26"/>
    </row>
    <row r="30" spans="1:8" ht="79.5" customHeight="1" x14ac:dyDescent="0.2">
      <c r="A30" s="17" t="s">
        <v>755</v>
      </c>
      <c r="B30" s="17" t="s">
        <v>756</v>
      </c>
      <c r="C30" s="18" t="s">
        <v>785</v>
      </c>
      <c r="D30" s="19" t="s">
        <v>786</v>
      </c>
      <c r="E30" s="30">
        <v>3</v>
      </c>
      <c r="F30" s="21" t="s">
        <v>60</v>
      </c>
      <c r="G30" s="19"/>
      <c r="H30" s="19"/>
    </row>
    <row r="31" spans="1:8" ht="79.5" customHeight="1" x14ac:dyDescent="0.2">
      <c r="A31" s="24" t="s">
        <v>755</v>
      </c>
      <c r="B31" s="24" t="s">
        <v>756</v>
      </c>
      <c r="C31" s="25" t="s">
        <v>787</v>
      </c>
      <c r="D31" s="26" t="s">
        <v>788</v>
      </c>
      <c r="E31" s="30">
        <v>3</v>
      </c>
      <c r="F31" s="21" t="s">
        <v>60</v>
      </c>
      <c r="G31" s="26"/>
      <c r="H31" s="26"/>
    </row>
    <row r="32" spans="1:8" x14ac:dyDescent="0.2">
      <c r="A32" s="16" t="s">
        <v>789</v>
      </c>
      <c r="B32" s="16" t="s">
        <v>790</v>
      </c>
      <c r="C32" s="16"/>
      <c r="D32" s="16"/>
      <c r="E32" s="16"/>
      <c r="F32" s="16"/>
      <c r="G32" s="16"/>
      <c r="H32" s="16"/>
    </row>
    <row r="33" spans="1:8" ht="79.5" customHeight="1" x14ac:dyDescent="0.2">
      <c r="A33" s="17" t="s">
        <v>789</v>
      </c>
      <c r="B33" s="17" t="s">
        <v>790</v>
      </c>
      <c r="C33" s="18" t="s">
        <v>791</v>
      </c>
      <c r="D33" s="19" t="s">
        <v>792</v>
      </c>
      <c r="E33" s="20">
        <v>2</v>
      </c>
      <c r="F33" s="21" t="s">
        <v>60</v>
      </c>
      <c r="G33" s="19"/>
      <c r="H33" s="19"/>
    </row>
    <row r="34" spans="1:8" ht="48" customHeight="1" x14ac:dyDescent="0.2">
      <c r="A34" s="24" t="s">
        <v>789</v>
      </c>
      <c r="B34" s="24" t="s">
        <v>790</v>
      </c>
      <c r="C34" s="25" t="s">
        <v>793</v>
      </c>
      <c r="D34" s="26" t="s">
        <v>794</v>
      </c>
      <c r="E34" s="20">
        <v>2</v>
      </c>
      <c r="F34" s="21" t="s">
        <v>60</v>
      </c>
      <c r="G34" s="26"/>
      <c r="H34" s="26"/>
    </row>
    <row r="35" spans="1:8" ht="79.5" customHeight="1" x14ac:dyDescent="0.2">
      <c r="A35" s="17" t="s">
        <v>789</v>
      </c>
      <c r="B35" s="17" t="s">
        <v>790</v>
      </c>
      <c r="C35" s="18" t="s">
        <v>795</v>
      </c>
      <c r="D35" s="19" t="s">
        <v>796</v>
      </c>
      <c r="E35" s="20">
        <v>2</v>
      </c>
      <c r="F35" s="21" t="s">
        <v>60</v>
      </c>
      <c r="G35" s="19"/>
      <c r="H35" s="19"/>
    </row>
    <row r="36" spans="1:8" ht="48" customHeight="1" x14ac:dyDescent="0.2">
      <c r="A36" s="24" t="s">
        <v>789</v>
      </c>
      <c r="B36" s="24" t="s">
        <v>790</v>
      </c>
      <c r="C36" s="25" t="s">
        <v>797</v>
      </c>
      <c r="D36" s="26" t="s">
        <v>798</v>
      </c>
      <c r="E36" s="20">
        <v>2</v>
      </c>
      <c r="F36" s="21" t="s">
        <v>60</v>
      </c>
      <c r="G36" s="26"/>
      <c r="H36" s="26"/>
    </row>
    <row r="37" spans="1:8" ht="96" customHeight="1" x14ac:dyDescent="0.2">
      <c r="A37" s="17" t="s">
        <v>789</v>
      </c>
      <c r="B37" s="17" t="s">
        <v>790</v>
      </c>
      <c r="C37" s="18" t="s">
        <v>799</v>
      </c>
      <c r="D37" s="19" t="s">
        <v>800</v>
      </c>
      <c r="E37" s="20">
        <v>2</v>
      </c>
      <c r="F37" s="21" t="s">
        <v>60</v>
      </c>
      <c r="G37" s="19"/>
      <c r="H37" s="19"/>
    </row>
    <row r="38" spans="1:8" x14ac:dyDescent="0.2">
      <c r="A38" s="16" t="s">
        <v>801</v>
      </c>
      <c r="B38" s="16" t="s">
        <v>802</v>
      </c>
      <c r="C38" s="16"/>
      <c r="D38" s="16"/>
      <c r="E38" s="16"/>
      <c r="F38" s="16"/>
      <c r="G38" s="16"/>
      <c r="H38" s="16"/>
    </row>
    <row r="39" spans="1:8" ht="63.75" customHeight="1" x14ac:dyDescent="0.2">
      <c r="A39" s="17" t="s">
        <v>801</v>
      </c>
      <c r="B39" s="17" t="s">
        <v>802</v>
      </c>
      <c r="C39" s="18" t="s">
        <v>803</v>
      </c>
      <c r="D39" s="19" t="s">
        <v>804</v>
      </c>
      <c r="E39" s="20">
        <v>2</v>
      </c>
      <c r="F39" s="21" t="s">
        <v>60</v>
      </c>
      <c r="G39" s="19"/>
      <c r="H39" s="19"/>
    </row>
    <row r="40" spans="1:8" ht="63.75" customHeight="1" x14ac:dyDescent="0.2">
      <c r="A40" s="24" t="s">
        <v>801</v>
      </c>
      <c r="B40" s="24" t="s">
        <v>802</v>
      </c>
      <c r="C40" s="25" t="s">
        <v>805</v>
      </c>
      <c r="D40" s="26" t="s">
        <v>806</v>
      </c>
      <c r="E40" s="20">
        <v>2</v>
      </c>
      <c r="F40" s="21" t="s">
        <v>60</v>
      </c>
      <c r="G40" s="26"/>
      <c r="H40" s="26"/>
    </row>
    <row r="41" spans="1:8" x14ac:dyDescent="0.2">
      <c r="A41" s="16" t="s">
        <v>807</v>
      </c>
      <c r="B41" s="16" t="s">
        <v>808</v>
      </c>
      <c r="C41" s="16"/>
      <c r="D41" s="16"/>
      <c r="E41" s="16"/>
      <c r="F41" s="16"/>
      <c r="G41" s="16"/>
      <c r="H41" s="16"/>
    </row>
    <row r="42" spans="1:8" ht="48" customHeight="1" x14ac:dyDescent="0.2">
      <c r="A42" s="17" t="s">
        <v>807</v>
      </c>
      <c r="B42" s="17" t="s">
        <v>808</v>
      </c>
      <c r="C42" s="18" t="s">
        <v>809</v>
      </c>
      <c r="D42" s="19" t="s">
        <v>810</v>
      </c>
      <c r="E42" s="20">
        <v>2</v>
      </c>
      <c r="F42" s="21" t="s">
        <v>60</v>
      </c>
      <c r="G42" s="19"/>
      <c r="H42" s="19"/>
    </row>
    <row r="43" spans="1:8" ht="96" customHeight="1" x14ac:dyDescent="0.2">
      <c r="A43" s="24" t="s">
        <v>807</v>
      </c>
      <c r="B43" s="24" t="s">
        <v>808</v>
      </c>
      <c r="C43" s="25" t="s">
        <v>811</v>
      </c>
      <c r="D43" s="26" t="s">
        <v>812</v>
      </c>
      <c r="E43" s="20">
        <v>2</v>
      </c>
      <c r="F43" s="21" t="s">
        <v>60</v>
      </c>
      <c r="G43" s="26"/>
      <c r="H43" s="26"/>
    </row>
    <row r="44" spans="1:8" ht="31.5" customHeight="1" x14ac:dyDescent="0.2">
      <c r="A44" s="17" t="s">
        <v>807</v>
      </c>
      <c r="B44" s="17" t="s">
        <v>808</v>
      </c>
      <c r="C44" s="18" t="s">
        <v>813</v>
      </c>
      <c r="D44" s="19" t="s">
        <v>814</v>
      </c>
      <c r="E44" s="20">
        <v>2</v>
      </c>
      <c r="F44" s="21" t="s">
        <v>60</v>
      </c>
      <c r="G44" s="19"/>
      <c r="H44" s="19"/>
    </row>
  </sheetData>
  <conditionalFormatting sqref="F2:F44">
    <cfRule type="cellIs" dxfId="23" priority="2" operator="equal">
      <formula>"Compliant"</formula>
    </cfRule>
    <cfRule type="cellIs" dxfId="22" priority="3" operator="equal">
      <formula>"In Progress"</formula>
    </cfRule>
    <cfRule type="cellIs" dxfId="21"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Normal="100" workbookViewId="0">
      <pane ySplit="1" topLeftCell="A2" activePane="bottomLeft" state="frozen"/>
      <selection pane="bottomLeft" activeCell="G16" sqref="G16"/>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5" t="s">
        <v>33</v>
      </c>
      <c r="B1" s="15" t="s">
        <v>34</v>
      </c>
      <c r="C1" s="15" t="s">
        <v>35</v>
      </c>
      <c r="D1" s="15" t="s">
        <v>36</v>
      </c>
      <c r="E1" s="15" t="s">
        <v>37</v>
      </c>
      <c r="F1" s="15" t="s">
        <v>38</v>
      </c>
      <c r="G1" s="15" t="s">
        <v>39</v>
      </c>
      <c r="H1" s="15" t="s">
        <v>40</v>
      </c>
    </row>
    <row r="2" spans="1:8" ht="18" customHeight="1" x14ac:dyDescent="0.2">
      <c r="A2" s="16" t="s">
        <v>815</v>
      </c>
      <c r="B2" s="16" t="s">
        <v>816</v>
      </c>
      <c r="C2" s="16"/>
      <c r="D2" s="16"/>
      <c r="E2" s="16"/>
      <c r="F2" s="16"/>
      <c r="G2" s="16"/>
      <c r="H2" s="16"/>
    </row>
    <row r="3" spans="1:8" ht="30" customHeight="1" x14ac:dyDescent="0.2">
      <c r="A3" s="17" t="s">
        <v>815</v>
      </c>
      <c r="B3" s="17" t="s">
        <v>816</v>
      </c>
      <c r="C3" s="18" t="s">
        <v>817</v>
      </c>
      <c r="D3" s="19" t="s">
        <v>818</v>
      </c>
      <c r="E3" s="20">
        <v>2</v>
      </c>
      <c r="F3" s="21" t="s">
        <v>60</v>
      </c>
      <c r="G3" s="19"/>
      <c r="H3" s="19"/>
    </row>
    <row r="4" spans="1:8" ht="30" customHeight="1" x14ac:dyDescent="0.2">
      <c r="A4" s="24" t="s">
        <v>815</v>
      </c>
      <c r="B4" s="24" t="s">
        <v>816</v>
      </c>
      <c r="C4" s="25" t="s">
        <v>819</v>
      </c>
      <c r="D4" s="26" t="s">
        <v>820</v>
      </c>
      <c r="E4" s="20">
        <v>2</v>
      </c>
      <c r="F4" s="21" t="s">
        <v>45</v>
      </c>
      <c r="G4" s="26" t="s">
        <v>1162</v>
      </c>
      <c r="H4" s="26" t="s">
        <v>821</v>
      </c>
    </row>
    <row r="5" spans="1:8" ht="30" customHeight="1" x14ac:dyDescent="0.2">
      <c r="A5" s="17" t="s">
        <v>815</v>
      </c>
      <c r="B5" s="17" t="s">
        <v>816</v>
      </c>
      <c r="C5" s="18" t="s">
        <v>822</v>
      </c>
      <c r="D5" s="19" t="s">
        <v>823</v>
      </c>
      <c r="E5" s="30">
        <v>3</v>
      </c>
      <c r="F5" s="21" t="s">
        <v>60</v>
      </c>
      <c r="G5" s="19"/>
      <c r="H5" s="19"/>
    </row>
    <row r="6" spans="1:8" ht="30" customHeight="1" x14ac:dyDescent="0.2">
      <c r="A6" s="24" t="s">
        <v>815</v>
      </c>
      <c r="B6" s="24" t="s">
        <v>816</v>
      </c>
      <c r="C6" s="25" t="s">
        <v>824</v>
      </c>
      <c r="D6" s="26" t="s">
        <v>825</v>
      </c>
      <c r="E6" s="30">
        <v>3</v>
      </c>
      <c r="F6" s="21" t="s">
        <v>60</v>
      </c>
      <c r="G6" s="26"/>
      <c r="H6" s="26"/>
    </row>
    <row r="7" spans="1:8" ht="18" customHeight="1" x14ac:dyDescent="0.2">
      <c r="A7" s="16" t="s">
        <v>826</v>
      </c>
      <c r="B7" s="16" t="s">
        <v>827</v>
      </c>
      <c r="C7" s="16"/>
      <c r="D7" s="16"/>
      <c r="E7" s="16"/>
      <c r="F7" s="16"/>
      <c r="G7" s="16"/>
      <c r="H7" s="16"/>
    </row>
    <row r="8" spans="1:8" ht="30" customHeight="1" x14ac:dyDescent="0.2">
      <c r="A8" s="17" t="s">
        <v>826</v>
      </c>
      <c r="B8" s="17" t="s">
        <v>827</v>
      </c>
      <c r="C8" s="18" t="s">
        <v>828</v>
      </c>
      <c r="D8" s="19" t="s">
        <v>829</v>
      </c>
      <c r="E8" s="20">
        <v>2</v>
      </c>
      <c r="F8" s="21" t="s">
        <v>45</v>
      </c>
      <c r="G8" s="19" t="s">
        <v>830</v>
      </c>
      <c r="H8" s="19" t="s">
        <v>831</v>
      </c>
    </row>
    <row r="9" spans="1:8" ht="30" customHeight="1" x14ac:dyDescent="0.2">
      <c r="A9" s="24" t="s">
        <v>826</v>
      </c>
      <c r="B9" s="24" t="s">
        <v>827</v>
      </c>
      <c r="C9" s="25" t="s">
        <v>832</v>
      </c>
      <c r="D9" s="26" t="s">
        <v>833</v>
      </c>
      <c r="E9" s="20">
        <v>2</v>
      </c>
      <c r="F9" s="21" t="s">
        <v>205</v>
      </c>
      <c r="G9" s="26"/>
      <c r="H9" s="26"/>
    </row>
    <row r="10" spans="1:8" ht="30" customHeight="1" x14ac:dyDescent="0.2">
      <c r="A10" s="17" t="s">
        <v>826</v>
      </c>
      <c r="B10" s="17" t="s">
        <v>827</v>
      </c>
      <c r="C10" s="18" t="s">
        <v>834</v>
      </c>
      <c r="D10" s="19" t="s">
        <v>835</v>
      </c>
      <c r="E10" s="20">
        <v>2</v>
      </c>
      <c r="F10" s="21" t="s">
        <v>205</v>
      </c>
      <c r="G10" s="19"/>
      <c r="H10" s="19"/>
    </row>
    <row r="11" spans="1:8" ht="30" customHeight="1" x14ac:dyDescent="0.2">
      <c r="A11" s="24" t="s">
        <v>826</v>
      </c>
      <c r="B11" s="24" t="s">
        <v>827</v>
      </c>
      <c r="C11" s="25" t="s">
        <v>836</v>
      </c>
      <c r="D11" s="26" t="s">
        <v>837</v>
      </c>
      <c r="E11" s="30">
        <v>3</v>
      </c>
      <c r="F11" s="21" t="s">
        <v>45</v>
      </c>
      <c r="G11" s="26" t="s">
        <v>838</v>
      </c>
      <c r="H11" s="26" t="s">
        <v>839</v>
      </c>
    </row>
    <row r="12" spans="1:8" ht="30" customHeight="1" x14ac:dyDescent="0.2">
      <c r="A12" s="17" t="s">
        <v>826</v>
      </c>
      <c r="B12" s="17" t="s">
        <v>827</v>
      </c>
      <c r="C12" s="18" t="s">
        <v>840</v>
      </c>
      <c r="D12" s="19" t="s">
        <v>841</v>
      </c>
      <c r="E12" s="30">
        <v>3</v>
      </c>
      <c r="F12" s="21" t="s">
        <v>45</v>
      </c>
      <c r="G12" s="19" t="s">
        <v>842</v>
      </c>
      <c r="H12" s="19"/>
    </row>
    <row r="13" spans="1:8" ht="18" customHeight="1" x14ac:dyDescent="0.2">
      <c r="A13" s="16" t="s">
        <v>843</v>
      </c>
      <c r="B13" s="16" t="s">
        <v>844</v>
      </c>
      <c r="C13" s="16"/>
      <c r="D13" s="16"/>
      <c r="E13" s="16"/>
      <c r="F13" s="16"/>
      <c r="G13" s="16"/>
      <c r="H13" s="16"/>
    </row>
    <row r="14" spans="1:8" ht="30" customHeight="1" x14ac:dyDescent="0.2">
      <c r="A14" s="17" t="s">
        <v>843</v>
      </c>
      <c r="B14" s="17" t="s">
        <v>844</v>
      </c>
      <c r="C14" s="18" t="s">
        <v>845</v>
      </c>
      <c r="D14" s="19" t="s">
        <v>846</v>
      </c>
      <c r="E14" s="29">
        <v>1</v>
      </c>
      <c r="F14" s="21" t="s">
        <v>45</v>
      </c>
      <c r="G14" s="19" t="s">
        <v>847</v>
      </c>
      <c r="H14" s="19"/>
    </row>
    <row r="15" spans="1:8" ht="30" customHeight="1" x14ac:dyDescent="0.2">
      <c r="A15" s="24" t="s">
        <v>843</v>
      </c>
      <c r="B15" s="24" t="s">
        <v>844</v>
      </c>
      <c r="C15" s="25" t="s">
        <v>848</v>
      </c>
      <c r="D15" s="26" t="s">
        <v>849</v>
      </c>
      <c r="E15" s="29">
        <v>1</v>
      </c>
      <c r="F15" s="21" t="s">
        <v>45</v>
      </c>
      <c r="G15" s="26" t="s">
        <v>1163</v>
      </c>
      <c r="H15" s="26" t="s">
        <v>850</v>
      </c>
    </row>
    <row r="16" spans="1:8" ht="30" customHeight="1" x14ac:dyDescent="0.2">
      <c r="A16" s="17" t="s">
        <v>843</v>
      </c>
      <c r="B16" s="17" t="s">
        <v>844</v>
      </c>
      <c r="C16" s="18" t="s">
        <v>851</v>
      </c>
      <c r="D16" s="19" t="s">
        <v>852</v>
      </c>
      <c r="E16" s="20">
        <v>2</v>
      </c>
      <c r="F16" s="21" t="s">
        <v>205</v>
      </c>
      <c r="G16" s="19" t="s">
        <v>853</v>
      </c>
      <c r="H16" s="19"/>
    </row>
    <row r="17" spans="1:8" ht="30" customHeight="1" x14ac:dyDescent="0.2">
      <c r="A17" s="24" t="s">
        <v>843</v>
      </c>
      <c r="B17" s="24" t="s">
        <v>844</v>
      </c>
      <c r="C17" s="25" t="s">
        <v>854</v>
      </c>
      <c r="D17" s="26" t="s">
        <v>855</v>
      </c>
      <c r="E17" s="30">
        <v>3</v>
      </c>
      <c r="F17" s="21" t="s">
        <v>60</v>
      </c>
      <c r="G17" s="26"/>
      <c r="H17" s="26"/>
    </row>
    <row r="18" spans="1:8" ht="30" customHeight="1" x14ac:dyDescent="0.2">
      <c r="A18" s="17" t="s">
        <v>843</v>
      </c>
      <c r="B18" s="17" t="s">
        <v>844</v>
      </c>
      <c r="C18" s="18" t="s">
        <v>856</v>
      </c>
      <c r="D18" s="19" t="s">
        <v>857</v>
      </c>
      <c r="E18" s="30">
        <v>3</v>
      </c>
      <c r="F18" s="21" t="s">
        <v>60</v>
      </c>
      <c r="G18" s="19"/>
      <c r="H18" s="19"/>
    </row>
    <row r="19" spans="1:8" ht="18" customHeight="1" x14ac:dyDescent="0.2">
      <c r="A19" s="16" t="s">
        <v>858</v>
      </c>
      <c r="B19" s="16" t="s">
        <v>859</v>
      </c>
      <c r="C19" s="16"/>
      <c r="D19" s="16"/>
      <c r="E19" s="16"/>
      <c r="F19" s="16"/>
      <c r="G19" s="16"/>
      <c r="H19" s="16"/>
    </row>
    <row r="20" spans="1:8" ht="30" customHeight="1" x14ac:dyDescent="0.2">
      <c r="A20" s="17" t="s">
        <v>858</v>
      </c>
      <c r="B20" s="17" t="s">
        <v>859</v>
      </c>
      <c r="C20" s="18" t="s">
        <v>860</v>
      </c>
      <c r="D20" s="19" t="s">
        <v>861</v>
      </c>
      <c r="E20" s="29">
        <v>1</v>
      </c>
      <c r="F20" s="21" t="s">
        <v>45</v>
      </c>
      <c r="G20" s="19" t="s">
        <v>862</v>
      </c>
      <c r="H20" s="19" t="s">
        <v>863</v>
      </c>
    </row>
    <row r="21" spans="1:8" ht="30" customHeight="1" x14ac:dyDescent="0.2">
      <c r="A21" s="24" t="s">
        <v>858</v>
      </c>
      <c r="B21" s="24" t="s">
        <v>859</v>
      </c>
      <c r="C21" s="25" t="s">
        <v>864</v>
      </c>
      <c r="D21" s="26" t="s">
        <v>865</v>
      </c>
      <c r="E21" s="20">
        <v>2</v>
      </c>
      <c r="F21" s="21" t="s">
        <v>45</v>
      </c>
      <c r="G21" s="26"/>
      <c r="H21" s="26" t="s">
        <v>496</v>
      </c>
    </row>
    <row r="22" spans="1:8" ht="30" customHeight="1" x14ac:dyDescent="0.2">
      <c r="A22" s="17" t="s">
        <v>858</v>
      </c>
      <c r="B22" s="17" t="s">
        <v>859</v>
      </c>
      <c r="C22" s="18" t="s">
        <v>866</v>
      </c>
      <c r="D22" s="19" t="s">
        <v>867</v>
      </c>
      <c r="E22" s="20">
        <v>2</v>
      </c>
      <c r="F22" s="21" t="s">
        <v>45</v>
      </c>
      <c r="G22" s="19" t="s">
        <v>868</v>
      </c>
      <c r="H22" s="19" t="s">
        <v>869</v>
      </c>
    </row>
    <row r="23" spans="1:8" ht="30" customHeight="1" x14ac:dyDescent="0.2">
      <c r="A23" s="24" t="s">
        <v>858</v>
      </c>
      <c r="B23" s="24" t="s">
        <v>859</v>
      </c>
      <c r="C23" s="25" t="s">
        <v>870</v>
      </c>
      <c r="D23" s="26" t="s">
        <v>871</v>
      </c>
      <c r="E23" s="20">
        <v>2</v>
      </c>
      <c r="F23" s="21" t="s">
        <v>205</v>
      </c>
      <c r="G23" s="26" t="s">
        <v>872</v>
      </c>
      <c r="H23" s="26"/>
    </row>
    <row r="24" spans="1:8" ht="18" customHeight="1" x14ac:dyDescent="0.2">
      <c r="A24" s="16" t="s">
        <v>873</v>
      </c>
      <c r="B24" s="16" t="s">
        <v>874</v>
      </c>
      <c r="C24" s="16"/>
      <c r="D24" s="16"/>
      <c r="E24" s="16"/>
      <c r="F24" s="16"/>
      <c r="G24" s="16"/>
      <c r="H24" s="16"/>
    </row>
    <row r="25" spans="1:8" ht="30" customHeight="1" x14ac:dyDescent="0.2">
      <c r="A25" s="17" t="s">
        <v>873</v>
      </c>
      <c r="B25" s="17" t="s">
        <v>874</v>
      </c>
      <c r="C25" s="18" t="s">
        <v>875</v>
      </c>
      <c r="D25" s="19" t="s">
        <v>876</v>
      </c>
      <c r="E25" s="20">
        <v>2</v>
      </c>
      <c r="F25" s="21" t="s">
        <v>45</v>
      </c>
      <c r="G25" s="19" t="s">
        <v>877</v>
      </c>
      <c r="H25" s="19"/>
    </row>
    <row r="26" spans="1:8" ht="30" customHeight="1" x14ac:dyDescent="0.2">
      <c r="A26" s="24" t="s">
        <v>873</v>
      </c>
      <c r="B26" s="24" t="s">
        <v>874</v>
      </c>
      <c r="C26" s="25" t="s">
        <v>878</v>
      </c>
      <c r="D26" s="26" t="s">
        <v>879</v>
      </c>
      <c r="E26" s="30">
        <v>3</v>
      </c>
      <c r="F26" s="21" t="s">
        <v>45</v>
      </c>
      <c r="G26" s="26" t="s">
        <v>880</v>
      </c>
      <c r="H26" s="26" t="s">
        <v>881</v>
      </c>
    </row>
    <row r="27" spans="1:8" ht="18" customHeight="1" x14ac:dyDescent="0.2">
      <c r="A27" s="16" t="s">
        <v>882</v>
      </c>
      <c r="B27" s="16" t="s">
        <v>883</v>
      </c>
      <c r="C27" s="16"/>
      <c r="D27" s="16"/>
      <c r="E27" s="16"/>
      <c r="F27" s="16"/>
      <c r="G27" s="16"/>
      <c r="H27" s="16"/>
    </row>
    <row r="28" spans="1:8" ht="30" customHeight="1" x14ac:dyDescent="0.2">
      <c r="A28" s="17" t="s">
        <v>882</v>
      </c>
      <c r="B28" s="17" t="s">
        <v>883</v>
      </c>
      <c r="C28" s="18" t="s">
        <v>884</v>
      </c>
      <c r="D28" s="19" t="s">
        <v>885</v>
      </c>
      <c r="E28" s="20">
        <v>2</v>
      </c>
      <c r="F28" s="21" t="s">
        <v>45</v>
      </c>
      <c r="G28" s="19" t="s">
        <v>886</v>
      </c>
      <c r="H28" s="19"/>
    </row>
    <row r="29" spans="1:8" ht="30" customHeight="1" x14ac:dyDescent="0.2">
      <c r="A29" s="24" t="s">
        <v>882</v>
      </c>
      <c r="B29" s="24" t="s">
        <v>883</v>
      </c>
      <c r="C29" s="25" t="s">
        <v>887</v>
      </c>
      <c r="D29" s="26" t="s">
        <v>888</v>
      </c>
      <c r="E29" s="30">
        <v>3</v>
      </c>
      <c r="F29" s="21" t="s">
        <v>60</v>
      </c>
      <c r="G29" s="26"/>
      <c r="H29" s="26"/>
    </row>
    <row r="30" spans="1:8" ht="18" customHeight="1" x14ac:dyDescent="0.2">
      <c r="A30" s="16" t="s">
        <v>889</v>
      </c>
      <c r="B30" s="16" t="s">
        <v>890</v>
      </c>
      <c r="C30" s="16"/>
      <c r="D30" s="16"/>
      <c r="E30" s="16"/>
      <c r="F30" s="16"/>
      <c r="G30" s="16"/>
      <c r="H30" s="16"/>
    </row>
    <row r="31" spans="1:8" ht="30" customHeight="1" x14ac:dyDescent="0.2">
      <c r="A31" s="17" t="s">
        <v>889</v>
      </c>
      <c r="B31" s="17" t="s">
        <v>890</v>
      </c>
      <c r="C31" s="18" t="s">
        <v>891</v>
      </c>
      <c r="D31" s="19" t="s">
        <v>892</v>
      </c>
      <c r="E31" s="30">
        <v>3</v>
      </c>
      <c r="F31" s="21" t="s">
        <v>60</v>
      </c>
      <c r="G31" s="19"/>
      <c r="H31" s="19"/>
    </row>
    <row r="32" spans="1:8" ht="30" customHeight="1" x14ac:dyDescent="0.2">
      <c r="A32" s="24" t="s">
        <v>889</v>
      </c>
      <c r="B32" s="24" t="s">
        <v>890</v>
      </c>
      <c r="C32" s="25" t="s">
        <v>893</v>
      </c>
      <c r="D32" s="26" t="s">
        <v>894</v>
      </c>
      <c r="E32" s="30">
        <v>3</v>
      </c>
      <c r="F32" s="21" t="s">
        <v>45</v>
      </c>
      <c r="G32" s="26" t="s">
        <v>895</v>
      </c>
      <c r="H32" s="26" t="s">
        <v>896</v>
      </c>
    </row>
  </sheetData>
  <conditionalFormatting sqref="F2:F32">
    <cfRule type="cellIs" dxfId="20" priority="2" operator="equal">
      <formula>"Compliant"</formula>
    </cfRule>
    <cfRule type="cellIs" dxfId="19" priority="3" operator="equal">
      <formula>"In Progress"</formula>
    </cfRule>
    <cfRule type="cellIs" dxfId="18"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Normal="100" workbookViewId="0">
      <pane ySplit="1" topLeftCell="A2" activePane="bottomLeft" state="frozen"/>
      <selection pane="bottomLeft" activeCell="G19" sqref="G19"/>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5" t="s">
        <v>33</v>
      </c>
      <c r="B1" s="15" t="s">
        <v>34</v>
      </c>
      <c r="C1" s="15" t="s">
        <v>35</v>
      </c>
      <c r="D1" s="15" t="s">
        <v>36</v>
      </c>
      <c r="E1" s="15" t="s">
        <v>37</v>
      </c>
      <c r="F1" s="15" t="s">
        <v>38</v>
      </c>
      <c r="G1" s="15" t="s">
        <v>39</v>
      </c>
      <c r="H1" s="15" t="s">
        <v>40</v>
      </c>
    </row>
    <row r="2" spans="1:8" ht="18" customHeight="1" x14ac:dyDescent="0.2">
      <c r="A2" s="16" t="s">
        <v>897</v>
      </c>
      <c r="B2" s="16" t="s">
        <v>898</v>
      </c>
      <c r="C2" s="16"/>
      <c r="D2" s="16"/>
      <c r="E2" s="16"/>
      <c r="F2" s="16"/>
      <c r="G2" s="16"/>
      <c r="H2" s="16"/>
    </row>
    <row r="3" spans="1:8" ht="30" customHeight="1" x14ac:dyDescent="0.2">
      <c r="A3" s="17" t="s">
        <v>897</v>
      </c>
      <c r="B3" s="17" t="s">
        <v>898</v>
      </c>
      <c r="C3" s="18" t="s">
        <v>899</v>
      </c>
      <c r="D3" s="19" t="s">
        <v>900</v>
      </c>
      <c r="E3" s="29">
        <v>1</v>
      </c>
      <c r="F3" s="21" t="s">
        <v>45</v>
      </c>
      <c r="G3" s="19"/>
      <c r="H3" s="19"/>
    </row>
    <row r="4" spans="1:8" ht="30" customHeight="1" x14ac:dyDescent="0.2">
      <c r="A4" s="24" t="s">
        <v>897</v>
      </c>
      <c r="B4" s="24" t="s">
        <v>898</v>
      </c>
      <c r="C4" s="25" t="s">
        <v>902</v>
      </c>
      <c r="D4" s="26" t="s">
        <v>903</v>
      </c>
      <c r="E4" s="20">
        <v>2</v>
      </c>
      <c r="F4" s="21" t="s">
        <v>399</v>
      </c>
      <c r="G4" s="26" t="s">
        <v>901</v>
      </c>
      <c r="H4" s="26"/>
    </row>
    <row r="5" spans="1:8" ht="30" customHeight="1" x14ac:dyDescent="0.2">
      <c r="A5" s="17" t="s">
        <v>897</v>
      </c>
      <c r="B5" s="17" t="s">
        <v>898</v>
      </c>
      <c r="C5" s="18" t="s">
        <v>904</v>
      </c>
      <c r="D5" s="19" t="s">
        <v>905</v>
      </c>
      <c r="E5" s="20">
        <v>2</v>
      </c>
      <c r="F5" s="21" t="s">
        <v>60</v>
      </c>
      <c r="G5" s="19"/>
      <c r="H5" s="19"/>
    </row>
    <row r="6" spans="1:8" ht="30" customHeight="1" x14ac:dyDescent="0.2">
      <c r="A6" s="24" t="s">
        <v>897</v>
      </c>
      <c r="B6" s="24" t="s">
        <v>898</v>
      </c>
      <c r="C6" s="25" t="s">
        <v>906</v>
      </c>
      <c r="D6" s="26" t="s">
        <v>907</v>
      </c>
      <c r="E6" s="30">
        <v>3</v>
      </c>
      <c r="F6" s="21" t="s">
        <v>60</v>
      </c>
      <c r="G6" s="26"/>
      <c r="H6" s="26"/>
    </row>
    <row r="7" spans="1:8" ht="30" customHeight="1" x14ac:dyDescent="0.2">
      <c r="A7" s="17" t="s">
        <v>897</v>
      </c>
      <c r="B7" s="17" t="s">
        <v>898</v>
      </c>
      <c r="C7" s="18" t="s">
        <v>908</v>
      </c>
      <c r="D7" s="19" t="s">
        <v>909</v>
      </c>
      <c r="E7" s="30">
        <v>3</v>
      </c>
      <c r="F7" s="21" t="s">
        <v>399</v>
      </c>
      <c r="G7" s="19"/>
      <c r="H7" s="19"/>
    </row>
    <row r="8" spans="1:8" ht="18" customHeight="1" x14ac:dyDescent="0.2">
      <c r="A8" s="16" t="s">
        <v>910</v>
      </c>
      <c r="B8" s="16" t="s">
        <v>911</v>
      </c>
      <c r="C8" s="16"/>
      <c r="D8" s="16"/>
      <c r="E8" s="16"/>
      <c r="F8" s="16"/>
      <c r="G8" s="16"/>
      <c r="H8" s="16"/>
    </row>
    <row r="9" spans="1:8" ht="30" customHeight="1" x14ac:dyDescent="0.2">
      <c r="A9" s="17" t="s">
        <v>910</v>
      </c>
      <c r="B9" s="17" t="s">
        <v>911</v>
      </c>
      <c r="C9" s="18" t="s">
        <v>912</v>
      </c>
      <c r="D9" s="19" t="s">
        <v>913</v>
      </c>
      <c r="E9" s="29">
        <v>1</v>
      </c>
      <c r="F9" s="21" t="s">
        <v>45</v>
      </c>
      <c r="G9" s="19" t="s">
        <v>914</v>
      </c>
      <c r="H9" s="19" t="s">
        <v>915</v>
      </c>
    </row>
    <row r="10" spans="1:8" ht="30" customHeight="1" x14ac:dyDescent="0.2">
      <c r="A10" s="24" t="s">
        <v>910</v>
      </c>
      <c r="B10" s="24" t="s">
        <v>911</v>
      </c>
      <c r="C10" s="25" t="s">
        <v>916</v>
      </c>
      <c r="D10" s="26" t="s">
        <v>917</v>
      </c>
      <c r="E10" s="29">
        <v>1</v>
      </c>
      <c r="F10" s="21" t="s">
        <v>45</v>
      </c>
      <c r="G10" s="26"/>
      <c r="H10" s="26"/>
    </row>
    <row r="11" spans="1:8" ht="18" customHeight="1" x14ac:dyDescent="0.2">
      <c r="A11" s="16" t="s">
        <v>918</v>
      </c>
      <c r="B11" s="16" t="s">
        <v>919</v>
      </c>
      <c r="C11" s="16"/>
      <c r="D11" s="16"/>
      <c r="E11" s="16"/>
      <c r="F11" s="16"/>
      <c r="G11" s="16"/>
      <c r="H11" s="16"/>
    </row>
    <row r="12" spans="1:8" ht="30" customHeight="1" x14ac:dyDescent="0.2">
      <c r="A12" s="17" t="s">
        <v>918</v>
      </c>
      <c r="B12" s="17" t="s">
        <v>919</v>
      </c>
      <c r="C12" s="18" t="s">
        <v>920</v>
      </c>
      <c r="D12" s="19" t="s">
        <v>921</v>
      </c>
      <c r="E12" s="20">
        <v>2</v>
      </c>
      <c r="F12" s="21" t="s">
        <v>399</v>
      </c>
      <c r="G12" s="19" t="s">
        <v>901</v>
      </c>
      <c r="H12" s="19"/>
    </row>
    <row r="13" spans="1:8" ht="30" customHeight="1" x14ac:dyDescent="0.2">
      <c r="A13" s="24" t="s">
        <v>918</v>
      </c>
      <c r="B13" s="24" t="s">
        <v>919</v>
      </c>
      <c r="C13" s="25" t="s">
        <v>922</v>
      </c>
      <c r="D13" s="26" t="s">
        <v>923</v>
      </c>
      <c r="E13" s="20">
        <v>2</v>
      </c>
      <c r="F13" s="21" t="s">
        <v>399</v>
      </c>
      <c r="G13" s="26" t="s">
        <v>901</v>
      </c>
      <c r="H13" s="26"/>
    </row>
    <row r="14" spans="1:8" ht="30" customHeight="1" x14ac:dyDescent="0.2">
      <c r="A14" s="17" t="s">
        <v>918</v>
      </c>
      <c r="B14" s="17" t="s">
        <v>919</v>
      </c>
      <c r="C14" s="18" t="s">
        <v>924</v>
      </c>
      <c r="D14" s="19" t="s">
        <v>925</v>
      </c>
      <c r="E14" s="20">
        <v>2</v>
      </c>
      <c r="F14" s="21" t="s">
        <v>60</v>
      </c>
      <c r="G14" s="19" t="s">
        <v>926</v>
      </c>
      <c r="H14" s="19"/>
    </row>
    <row r="15" spans="1:8" ht="30" customHeight="1" x14ac:dyDescent="0.2">
      <c r="A15" s="24" t="s">
        <v>918</v>
      </c>
      <c r="B15" s="24" t="s">
        <v>919</v>
      </c>
      <c r="C15" s="25" t="s">
        <v>927</v>
      </c>
      <c r="D15" s="26" t="s">
        <v>928</v>
      </c>
      <c r="E15" s="20">
        <v>2</v>
      </c>
      <c r="F15" s="21" t="s">
        <v>45</v>
      </c>
      <c r="G15" s="26" t="s">
        <v>1164</v>
      </c>
      <c r="H15" s="26"/>
    </row>
    <row r="16" spans="1:8" ht="30" customHeight="1" x14ac:dyDescent="0.2">
      <c r="A16" s="17" t="s">
        <v>918</v>
      </c>
      <c r="B16" s="17" t="s">
        <v>919</v>
      </c>
      <c r="C16" s="18" t="s">
        <v>929</v>
      </c>
      <c r="D16" s="19" t="s">
        <v>930</v>
      </c>
      <c r="E16" s="30">
        <v>3</v>
      </c>
      <c r="F16" s="21" t="s">
        <v>205</v>
      </c>
      <c r="G16" s="19" t="s">
        <v>931</v>
      </c>
      <c r="H16" s="19"/>
    </row>
  </sheetData>
  <conditionalFormatting sqref="F2:F16">
    <cfRule type="cellIs" dxfId="17" priority="2" operator="equal">
      <formula>"Compliant"</formula>
    </cfRule>
    <cfRule type="cellIs" dxfId="16" priority="3" operator="equal">
      <formula>"In Progress"</formula>
    </cfRule>
    <cfRule type="cellIs" dxfId="15"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Normal="100" workbookViewId="0">
      <pane ySplit="1" topLeftCell="A4" activePane="bottomLeft" state="frozen"/>
      <selection pane="bottomLeft" activeCell="F26" sqref="F26"/>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5" t="s">
        <v>33</v>
      </c>
      <c r="B1" s="15" t="s">
        <v>34</v>
      </c>
      <c r="C1" s="15" t="s">
        <v>35</v>
      </c>
      <c r="D1" s="15" t="s">
        <v>36</v>
      </c>
      <c r="E1" s="15" t="s">
        <v>37</v>
      </c>
      <c r="F1" s="15" t="s">
        <v>38</v>
      </c>
      <c r="G1" s="15" t="s">
        <v>39</v>
      </c>
      <c r="H1" s="15" t="s">
        <v>40</v>
      </c>
    </row>
    <row r="2" spans="1:8" ht="18" customHeight="1" x14ac:dyDescent="0.2">
      <c r="A2" s="16" t="s">
        <v>932</v>
      </c>
      <c r="B2" s="16" t="s">
        <v>933</v>
      </c>
      <c r="C2" s="16"/>
      <c r="D2" s="16"/>
      <c r="E2" s="16"/>
      <c r="F2" s="16"/>
      <c r="G2" s="16"/>
      <c r="H2" s="16"/>
    </row>
    <row r="3" spans="1:8" ht="30" customHeight="1" x14ac:dyDescent="0.2">
      <c r="A3" s="17" t="s">
        <v>932</v>
      </c>
      <c r="B3" s="17" t="s">
        <v>933</v>
      </c>
      <c r="C3" s="18" t="s">
        <v>934</v>
      </c>
      <c r="D3" s="19" t="s">
        <v>935</v>
      </c>
      <c r="E3" s="20">
        <v>2</v>
      </c>
      <c r="F3" s="21" t="s">
        <v>45</v>
      </c>
      <c r="G3" s="19" t="s">
        <v>936</v>
      </c>
      <c r="H3" s="19"/>
    </row>
    <row r="4" spans="1:8" ht="30" customHeight="1" x14ac:dyDescent="0.2">
      <c r="A4" s="24" t="s">
        <v>932</v>
      </c>
      <c r="B4" s="24" t="s">
        <v>933</v>
      </c>
      <c r="C4" s="25" t="s">
        <v>937</v>
      </c>
      <c r="D4" s="26" t="s">
        <v>938</v>
      </c>
      <c r="E4" s="30">
        <v>3</v>
      </c>
      <c r="F4" s="21" t="s">
        <v>60</v>
      </c>
      <c r="G4" s="26"/>
      <c r="H4" s="26"/>
    </row>
    <row r="5" spans="1:8" ht="30" customHeight="1" x14ac:dyDescent="0.2">
      <c r="A5" s="17" t="s">
        <v>932</v>
      </c>
      <c r="B5" s="17" t="s">
        <v>933</v>
      </c>
      <c r="C5" s="18" t="s">
        <v>939</v>
      </c>
      <c r="D5" s="19" t="s">
        <v>940</v>
      </c>
      <c r="E5" s="30">
        <v>3</v>
      </c>
      <c r="F5" s="21" t="s">
        <v>60</v>
      </c>
      <c r="G5" s="19"/>
      <c r="H5" s="19"/>
    </row>
    <row r="6" spans="1:8" ht="30" customHeight="1" x14ac:dyDescent="0.2">
      <c r="A6" s="24" t="s">
        <v>932</v>
      </c>
      <c r="B6" s="24" t="s">
        <v>933</v>
      </c>
      <c r="C6" s="25" t="s">
        <v>941</v>
      </c>
      <c r="D6" s="26" t="s">
        <v>942</v>
      </c>
      <c r="E6" s="30">
        <v>3</v>
      </c>
      <c r="F6" s="21" t="s">
        <v>60</v>
      </c>
      <c r="G6" s="26"/>
      <c r="H6" s="26"/>
    </row>
    <row r="7" spans="1:8" ht="18" customHeight="1" x14ac:dyDescent="0.2">
      <c r="A7" s="16" t="s">
        <v>943</v>
      </c>
      <c r="B7" s="16" t="s">
        <v>944</v>
      </c>
      <c r="C7" s="16"/>
      <c r="D7" s="16"/>
      <c r="E7" s="16"/>
      <c r="F7" s="16"/>
      <c r="G7" s="16"/>
      <c r="H7" s="16"/>
    </row>
    <row r="8" spans="1:8" ht="30" customHeight="1" x14ac:dyDescent="0.2">
      <c r="A8" s="17" t="s">
        <v>943</v>
      </c>
      <c r="B8" s="17" t="s">
        <v>944</v>
      </c>
      <c r="C8" s="18" t="s">
        <v>945</v>
      </c>
      <c r="D8" s="19" t="s">
        <v>946</v>
      </c>
      <c r="E8" s="20">
        <v>2</v>
      </c>
      <c r="F8" s="21" t="s">
        <v>60</v>
      </c>
      <c r="G8" s="19"/>
      <c r="H8" s="19"/>
    </row>
    <row r="9" spans="1:8" ht="30" customHeight="1" x14ac:dyDescent="0.2">
      <c r="A9" s="24" t="s">
        <v>943</v>
      </c>
      <c r="B9" s="24" t="s">
        <v>944</v>
      </c>
      <c r="C9" s="25" t="s">
        <v>947</v>
      </c>
      <c r="D9" s="26" t="s">
        <v>948</v>
      </c>
      <c r="E9" s="20">
        <v>2</v>
      </c>
      <c r="F9" s="21" t="s">
        <v>60</v>
      </c>
      <c r="G9" s="26"/>
      <c r="H9" s="26"/>
    </row>
    <row r="10" spans="1:8" ht="30" customHeight="1" x14ac:dyDescent="0.2">
      <c r="A10" s="17" t="s">
        <v>943</v>
      </c>
      <c r="B10" s="17" t="s">
        <v>944</v>
      </c>
      <c r="C10" s="18" t="s">
        <v>949</v>
      </c>
      <c r="D10" s="19" t="s">
        <v>950</v>
      </c>
      <c r="E10" s="20">
        <v>2</v>
      </c>
      <c r="F10" s="21" t="s">
        <v>60</v>
      </c>
      <c r="G10" s="19"/>
      <c r="H10" s="19"/>
    </row>
    <row r="11" spans="1:8" ht="30" customHeight="1" x14ac:dyDescent="0.2">
      <c r="A11" s="24" t="s">
        <v>943</v>
      </c>
      <c r="B11" s="24" t="s">
        <v>944</v>
      </c>
      <c r="C11" s="25" t="s">
        <v>951</v>
      </c>
      <c r="D11" s="26" t="s">
        <v>952</v>
      </c>
      <c r="E11" s="20">
        <v>2</v>
      </c>
      <c r="F11" s="21" t="s">
        <v>60</v>
      </c>
      <c r="G11" s="26"/>
      <c r="H11" s="26"/>
    </row>
    <row r="12" spans="1:8" ht="30" customHeight="1" x14ac:dyDescent="0.2">
      <c r="A12" s="17" t="s">
        <v>943</v>
      </c>
      <c r="B12" s="17" t="s">
        <v>944</v>
      </c>
      <c r="C12" s="18" t="s">
        <v>953</v>
      </c>
      <c r="D12" s="19" t="s">
        <v>954</v>
      </c>
      <c r="E12" s="20">
        <v>2</v>
      </c>
      <c r="F12" s="21" t="s">
        <v>60</v>
      </c>
      <c r="G12" s="19"/>
      <c r="H12" s="19"/>
    </row>
    <row r="13" spans="1:8" ht="30" customHeight="1" x14ac:dyDescent="0.2">
      <c r="A13" s="24" t="s">
        <v>943</v>
      </c>
      <c r="B13" s="24" t="s">
        <v>944</v>
      </c>
      <c r="C13" s="25" t="s">
        <v>955</v>
      </c>
      <c r="D13" s="26" t="s">
        <v>956</v>
      </c>
      <c r="E13" s="30">
        <v>3</v>
      </c>
      <c r="F13" s="21" t="s">
        <v>60</v>
      </c>
      <c r="G13" s="26"/>
      <c r="H13" s="26"/>
    </row>
    <row r="14" spans="1:8" ht="18" customHeight="1" x14ac:dyDescent="0.2">
      <c r="A14" s="16" t="s">
        <v>957</v>
      </c>
      <c r="B14" s="16" t="s">
        <v>958</v>
      </c>
      <c r="C14" s="16"/>
      <c r="D14" s="16"/>
      <c r="E14" s="16"/>
      <c r="F14" s="16"/>
      <c r="G14" s="16"/>
      <c r="H14" s="16"/>
    </row>
    <row r="15" spans="1:8" ht="30" customHeight="1" x14ac:dyDescent="0.2">
      <c r="A15" s="17" t="s">
        <v>957</v>
      </c>
      <c r="B15" s="17" t="s">
        <v>958</v>
      </c>
      <c r="C15" s="18" t="s">
        <v>959</v>
      </c>
      <c r="D15" s="19" t="s">
        <v>960</v>
      </c>
      <c r="E15" s="20">
        <v>2</v>
      </c>
      <c r="F15" s="21" t="s">
        <v>60</v>
      </c>
      <c r="G15" s="19"/>
      <c r="H15" s="19"/>
    </row>
    <row r="16" spans="1:8" ht="30" customHeight="1" x14ac:dyDescent="0.2">
      <c r="A16" s="24" t="s">
        <v>957</v>
      </c>
      <c r="B16" s="24" t="s">
        <v>958</v>
      </c>
      <c r="C16" s="25" t="s">
        <v>961</v>
      </c>
      <c r="D16" s="26" t="s">
        <v>962</v>
      </c>
      <c r="E16" s="20">
        <v>2</v>
      </c>
      <c r="F16" s="21" t="s">
        <v>60</v>
      </c>
      <c r="G16" s="26"/>
      <c r="H16" s="26"/>
    </row>
    <row r="17" spans="1:8" ht="30" customHeight="1" x14ac:dyDescent="0.2">
      <c r="A17" s="17" t="s">
        <v>957</v>
      </c>
      <c r="B17" s="17" t="s">
        <v>958</v>
      </c>
      <c r="C17" s="18" t="s">
        <v>963</v>
      </c>
      <c r="D17" s="19" t="s">
        <v>964</v>
      </c>
      <c r="E17" s="30">
        <v>3</v>
      </c>
      <c r="F17" s="21" t="s">
        <v>60</v>
      </c>
      <c r="G17" s="19"/>
      <c r="H17" s="19"/>
    </row>
    <row r="18" spans="1:8" ht="30" customHeight="1" x14ac:dyDescent="0.2">
      <c r="A18" s="24" t="s">
        <v>957</v>
      </c>
      <c r="B18" s="24" t="s">
        <v>958</v>
      </c>
      <c r="C18" s="25" t="s">
        <v>965</v>
      </c>
      <c r="D18" s="26" t="s">
        <v>966</v>
      </c>
      <c r="E18" s="30">
        <v>3</v>
      </c>
      <c r="F18" s="21" t="s">
        <v>60</v>
      </c>
      <c r="G18" s="26"/>
      <c r="H18" s="26"/>
    </row>
    <row r="19" spans="1:8" ht="18" customHeight="1" x14ac:dyDescent="0.2">
      <c r="A19" s="16" t="s">
        <v>967</v>
      </c>
      <c r="B19" s="16" t="s">
        <v>968</v>
      </c>
      <c r="C19" s="16"/>
      <c r="D19" s="16"/>
      <c r="E19" s="16"/>
      <c r="F19" s="16"/>
      <c r="G19" s="16"/>
      <c r="H19" s="16"/>
    </row>
    <row r="20" spans="1:8" ht="30" customHeight="1" x14ac:dyDescent="0.2">
      <c r="A20" s="17" t="s">
        <v>967</v>
      </c>
      <c r="B20" s="17" t="s">
        <v>968</v>
      </c>
      <c r="C20" s="18" t="s">
        <v>969</v>
      </c>
      <c r="D20" s="19" t="s">
        <v>970</v>
      </c>
      <c r="E20" s="29">
        <v>1</v>
      </c>
      <c r="F20" s="21" t="s">
        <v>60</v>
      </c>
      <c r="G20" s="19"/>
      <c r="H20" s="19"/>
    </row>
    <row r="21" spans="1:8" ht="30" customHeight="1" x14ac:dyDescent="0.2">
      <c r="A21" s="24" t="s">
        <v>967</v>
      </c>
      <c r="B21" s="24" t="s">
        <v>968</v>
      </c>
      <c r="C21" s="25" t="s">
        <v>971</v>
      </c>
      <c r="D21" s="26" t="s">
        <v>972</v>
      </c>
      <c r="E21" s="20">
        <v>2</v>
      </c>
      <c r="F21" s="21" t="s">
        <v>60</v>
      </c>
      <c r="G21" s="26"/>
      <c r="H21" s="26"/>
    </row>
    <row r="22" spans="1:8" ht="30" customHeight="1" x14ac:dyDescent="0.2">
      <c r="A22" s="17" t="s">
        <v>967</v>
      </c>
      <c r="B22" s="17" t="s">
        <v>968</v>
      </c>
      <c r="C22" s="18" t="s">
        <v>973</v>
      </c>
      <c r="D22" s="19" t="s">
        <v>974</v>
      </c>
      <c r="E22" s="20">
        <v>2</v>
      </c>
      <c r="F22" s="21" t="s">
        <v>60</v>
      </c>
      <c r="G22" s="19"/>
      <c r="H22" s="19"/>
    </row>
    <row r="23" spans="1:8" ht="30" customHeight="1" x14ac:dyDescent="0.2">
      <c r="A23" s="24" t="s">
        <v>967</v>
      </c>
      <c r="B23" s="24" t="s">
        <v>968</v>
      </c>
      <c r="C23" s="25" t="s">
        <v>975</v>
      </c>
      <c r="D23" s="26" t="s">
        <v>976</v>
      </c>
      <c r="E23" s="20">
        <v>2</v>
      </c>
      <c r="F23" s="21" t="s">
        <v>60</v>
      </c>
      <c r="G23" s="26"/>
      <c r="H23" s="26"/>
    </row>
    <row r="24" spans="1:8" ht="30" customHeight="1" x14ac:dyDescent="0.2">
      <c r="A24" s="17" t="s">
        <v>967</v>
      </c>
      <c r="B24" s="17" t="s">
        <v>968</v>
      </c>
      <c r="C24" s="18" t="s">
        <v>977</v>
      </c>
      <c r="D24" s="19" t="s">
        <v>978</v>
      </c>
      <c r="E24" s="20">
        <v>2</v>
      </c>
      <c r="F24" s="21" t="s">
        <v>60</v>
      </c>
      <c r="G24" s="19"/>
      <c r="H24" s="19"/>
    </row>
    <row r="25" spans="1:8" ht="30" customHeight="1" x14ac:dyDescent="0.2">
      <c r="A25" s="24" t="s">
        <v>967</v>
      </c>
      <c r="B25" s="24" t="s">
        <v>968</v>
      </c>
      <c r="C25" s="25" t="s">
        <v>979</v>
      </c>
      <c r="D25" s="26" t="s">
        <v>980</v>
      </c>
      <c r="E25" s="30">
        <v>3</v>
      </c>
      <c r="F25" s="21" t="s">
        <v>60</v>
      </c>
      <c r="G25" s="26"/>
      <c r="H25" s="26"/>
    </row>
    <row r="26" spans="1:8" ht="30" customHeight="1" x14ac:dyDescent="0.2">
      <c r="A26" s="17" t="s">
        <v>967</v>
      </c>
      <c r="B26" s="17" t="s">
        <v>968</v>
      </c>
      <c r="C26" s="18" t="s">
        <v>981</v>
      </c>
      <c r="D26" s="19" t="s">
        <v>982</v>
      </c>
      <c r="E26" s="30">
        <v>3</v>
      </c>
      <c r="F26" s="21" t="s">
        <v>60</v>
      </c>
      <c r="G26" s="19"/>
      <c r="H26" s="19"/>
    </row>
  </sheetData>
  <conditionalFormatting sqref="F2:F26">
    <cfRule type="cellIs" dxfId="14" priority="2" operator="equal">
      <formula>"Compliant"</formula>
    </cfRule>
    <cfRule type="cellIs" dxfId="13" priority="3" operator="equal">
      <formula>"In Progress"</formula>
    </cfRule>
    <cfRule type="cellIs" dxfId="12"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Normal="100" workbookViewId="0">
      <pane ySplit="1" topLeftCell="A2" activePane="bottomLeft" state="frozen"/>
      <selection pane="bottomLeft" activeCell="G12" sqref="G12"/>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5" t="s">
        <v>33</v>
      </c>
      <c r="B1" s="15" t="s">
        <v>34</v>
      </c>
      <c r="C1" s="15" t="s">
        <v>35</v>
      </c>
      <c r="D1" s="15" t="s">
        <v>36</v>
      </c>
      <c r="E1" s="15" t="s">
        <v>37</v>
      </c>
      <c r="F1" s="15" t="s">
        <v>38</v>
      </c>
      <c r="G1" s="15" t="s">
        <v>39</v>
      </c>
      <c r="H1" s="15" t="s">
        <v>40</v>
      </c>
    </row>
    <row r="2" spans="1:8" ht="18" customHeight="1" x14ac:dyDescent="0.2">
      <c r="A2" s="16" t="s">
        <v>983</v>
      </c>
      <c r="B2" s="16" t="s">
        <v>984</v>
      </c>
      <c r="C2" s="16"/>
      <c r="D2" s="16"/>
      <c r="E2" s="16"/>
      <c r="F2" s="16"/>
      <c r="G2" s="16"/>
      <c r="H2" s="16"/>
    </row>
    <row r="3" spans="1:8" ht="30" customHeight="1" x14ac:dyDescent="0.2">
      <c r="A3" s="17" t="s">
        <v>983</v>
      </c>
      <c r="B3" s="17" t="s">
        <v>984</v>
      </c>
      <c r="C3" s="18" t="s">
        <v>985</v>
      </c>
      <c r="D3" s="19" t="s">
        <v>986</v>
      </c>
      <c r="E3" s="20">
        <v>2</v>
      </c>
      <c r="F3" s="21" t="s">
        <v>205</v>
      </c>
      <c r="G3" s="19"/>
      <c r="H3" s="19"/>
    </row>
    <row r="4" spans="1:8" ht="30" customHeight="1" x14ac:dyDescent="0.2">
      <c r="A4" s="24" t="s">
        <v>983</v>
      </c>
      <c r="B4" s="24" t="s">
        <v>984</v>
      </c>
      <c r="C4" s="25" t="s">
        <v>987</v>
      </c>
      <c r="D4" s="26" t="s">
        <v>988</v>
      </c>
      <c r="E4" s="20">
        <v>2</v>
      </c>
      <c r="F4" s="21" t="s">
        <v>60</v>
      </c>
      <c r="G4" s="26"/>
      <c r="H4" s="26"/>
    </row>
    <row r="5" spans="1:8" ht="18" customHeight="1" x14ac:dyDescent="0.2">
      <c r="A5" s="16" t="s">
        <v>989</v>
      </c>
      <c r="B5" s="16" t="s">
        <v>990</v>
      </c>
      <c r="C5" s="16"/>
      <c r="D5" s="16"/>
      <c r="E5" s="16"/>
      <c r="F5" s="16"/>
      <c r="G5" s="16"/>
      <c r="H5" s="16"/>
    </row>
    <row r="6" spans="1:8" ht="30" customHeight="1" x14ac:dyDescent="0.2">
      <c r="A6" s="17" t="s">
        <v>989</v>
      </c>
      <c r="B6" s="17" t="s">
        <v>990</v>
      </c>
      <c r="C6" s="18" t="s">
        <v>991</v>
      </c>
      <c r="D6" s="19" t="s">
        <v>992</v>
      </c>
      <c r="E6" s="29">
        <v>1</v>
      </c>
      <c r="F6" s="21" t="s">
        <v>45</v>
      </c>
      <c r="G6" s="19"/>
      <c r="H6" s="19"/>
    </row>
    <row r="7" spans="1:8" ht="30" customHeight="1" x14ac:dyDescent="0.2">
      <c r="A7" s="24" t="s">
        <v>989</v>
      </c>
      <c r="B7" s="24" t="s">
        <v>990</v>
      </c>
      <c r="C7" s="25" t="s">
        <v>993</v>
      </c>
      <c r="D7" s="26" t="s">
        <v>994</v>
      </c>
      <c r="E7" s="20">
        <v>2</v>
      </c>
      <c r="F7" s="21" t="s">
        <v>60</v>
      </c>
      <c r="G7" s="26"/>
      <c r="H7" s="26"/>
    </row>
    <row r="8" spans="1:8" ht="30" customHeight="1" x14ac:dyDescent="0.2">
      <c r="A8" s="17" t="s">
        <v>989</v>
      </c>
      <c r="B8" s="17" t="s">
        <v>990</v>
      </c>
      <c r="C8" s="18" t="s">
        <v>995</v>
      </c>
      <c r="D8" s="19" t="s">
        <v>996</v>
      </c>
      <c r="E8" s="20">
        <v>2</v>
      </c>
      <c r="F8" s="21" t="s">
        <v>45</v>
      </c>
      <c r="G8" s="19"/>
      <c r="H8" s="19"/>
    </row>
    <row r="9" spans="1:8" ht="30" customHeight="1" x14ac:dyDescent="0.2">
      <c r="A9" s="24" t="s">
        <v>989</v>
      </c>
      <c r="B9" s="24" t="s">
        <v>990</v>
      </c>
      <c r="C9" s="25" t="s">
        <v>997</v>
      </c>
      <c r="D9" s="26" t="s">
        <v>998</v>
      </c>
      <c r="E9" s="20">
        <v>2</v>
      </c>
      <c r="F9" s="21" t="s">
        <v>45</v>
      </c>
      <c r="G9" s="26" t="s">
        <v>999</v>
      </c>
      <c r="H9" s="26" t="s">
        <v>1000</v>
      </c>
    </row>
    <row r="10" spans="1:8" ht="30" customHeight="1" x14ac:dyDescent="0.2">
      <c r="A10" s="17" t="s">
        <v>989</v>
      </c>
      <c r="B10" s="17" t="s">
        <v>990</v>
      </c>
      <c r="C10" s="18" t="s">
        <v>1001</v>
      </c>
      <c r="D10" s="19" t="s">
        <v>1002</v>
      </c>
      <c r="E10" s="30">
        <v>3</v>
      </c>
      <c r="F10" s="21" t="s">
        <v>60</v>
      </c>
      <c r="G10" s="19"/>
      <c r="H10" s="19"/>
    </row>
    <row r="11" spans="1:8" ht="30" customHeight="1" x14ac:dyDescent="0.2">
      <c r="A11" s="24" t="s">
        <v>989</v>
      </c>
      <c r="B11" s="24" t="s">
        <v>990</v>
      </c>
      <c r="C11" s="25" t="s">
        <v>1003</v>
      </c>
      <c r="D11" s="26" t="s">
        <v>1004</v>
      </c>
      <c r="E11" s="30">
        <v>3</v>
      </c>
      <c r="F11" s="21" t="s">
        <v>45</v>
      </c>
      <c r="G11" s="26"/>
      <c r="H11" s="26"/>
    </row>
    <row r="12" spans="1:8" ht="30" customHeight="1" x14ac:dyDescent="0.2">
      <c r="A12" s="17" t="s">
        <v>989</v>
      </c>
      <c r="B12" s="17" t="s">
        <v>990</v>
      </c>
      <c r="C12" s="18" t="s">
        <v>1005</v>
      </c>
      <c r="D12" s="19" t="s">
        <v>1006</v>
      </c>
      <c r="E12" s="30">
        <v>3</v>
      </c>
      <c r="F12" s="21" t="s">
        <v>60</v>
      </c>
      <c r="G12" s="19"/>
      <c r="H12" s="19"/>
    </row>
    <row r="13" spans="1:8" ht="30" customHeight="1" x14ac:dyDescent="0.2">
      <c r="A13" s="24" t="s">
        <v>989</v>
      </c>
      <c r="B13" s="24" t="s">
        <v>990</v>
      </c>
      <c r="C13" s="25" t="s">
        <v>1007</v>
      </c>
      <c r="D13" s="26" t="s">
        <v>1008</v>
      </c>
      <c r="E13" s="30">
        <v>3</v>
      </c>
      <c r="F13" s="21" t="s">
        <v>60</v>
      </c>
      <c r="G13" s="26"/>
      <c r="H13" s="26"/>
    </row>
    <row r="14" spans="1:8" ht="18" customHeight="1" x14ac:dyDescent="0.2">
      <c r="A14" s="16" t="s">
        <v>1009</v>
      </c>
      <c r="B14" s="16" t="s">
        <v>1010</v>
      </c>
      <c r="C14" s="16"/>
      <c r="D14" s="16"/>
      <c r="E14" s="16"/>
      <c r="F14" s="16"/>
      <c r="G14" s="16"/>
      <c r="H14" s="16"/>
    </row>
    <row r="15" spans="1:8" ht="30" customHeight="1" x14ac:dyDescent="0.2">
      <c r="A15" s="17" t="s">
        <v>1009</v>
      </c>
      <c r="B15" s="17" t="s">
        <v>1010</v>
      </c>
      <c r="C15" s="18" t="s">
        <v>1011</v>
      </c>
      <c r="D15" s="19" t="s">
        <v>1012</v>
      </c>
      <c r="E15" s="29">
        <v>1</v>
      </c>
      <c r="F15" s="21" t="s">
        <v>60</v>
      </c>
      <c r="G15" s="19"/>
      <c r="H15" s="19"/>
    </row>
    <row r="16" spans="1:8" ht="30" customHeight="1" x14ac:dyDescent="0.2">
      <c r="A16" s="24" t="s">
        <v>1009</v>
      </c>
      <c r="B16" s="24" t="s">
        <v>1010</v>
      </c>
      <c r="C16" s="25" t="s">
        <v>1013</v>
      </c>
      <c r="D16" s="26" t="s">
        <v>1014</v>
      </c>
      <c r="E16" s="20">
        <v>2</v>
      </c>
      <c r="F16" s="41" t="s">
        <v>60</v>
      </c>
      <c r="G16" s="26"/>
      <c r="H16" s="26"/>
    </row>
    <row r="17" spans="1:8" ht="30" customHeight="1" x14ac:dyDescent="0.2">
      <c r="A17" s="17" t="s">
        <v>1009</v>
      </c>
      <c r="B17" s="17" t="s">
        <v>1010</v>
      </c>
      <c r="C17" s="18" t="s">
        <v>1015</v>
      </c>
      <c r="D17" s="19" t="s">
        <v>1016</v>
      </c>
      <c r="E17" s="20">
        <v>2</v>
      </c>
      <c r="F17" s="21" t="s">
        <v>60</v>
      </c>
      <c r="G17" s="19"/>
      <c r="H17" s="19"/>
    </row>
  </sheetData>
  <conditionalFormatting sqref="F2:F17">
    <cfRule type="cellIs" dxfId="11" priority="2" operator="equal">
      <formula>"Compliant"</formula>
    </cfRule>
    <cfRule type="cellIs" dxfId="10" priority="3" operator="equal">
      <formula>"In Progress"</formula>
    </cfRule>
    <cfRule type="cellIs" dxfId="9"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Normal="100" workbookViewId="0">
      <pane ySplit="1" topLeftCell="A18" activePane="bottomLeft" state="frozen"/>
      <selection activeCell="K1" sqref="K1"/>
      <selection pane="bottomLeft" activeCell="F25" sqref="F25"/>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
      <c r="A1" s="15" t="s">
        <v>33</v>
      </c>
      <c r="B1" s="15" t="s">
        <v>34</v>
      </c>
      <c r="C1" s="15" t="s">
        <v>35</v>
      </c>
      <c r="D1" s="15" t="s">
        <v>36</v>
      </c>
      <c r="E1" s="15" t="s">
        <v>37</v>
      </c>
      <c r="F1" s="15" t="s">
        <v>38</v>
      </c>
      <c r="G1" s="15" t="s">
        <v>39</v>
      </c>
      <c r="H1" s="15" t="s">
        <v>40</v>
      </c>
    </row>
    <row r="2" spans="1:8" x14ac:dyDescent="0.2">
      <c r="A2" s="16" t="s">
        <v>1017</v>
      </c>
      <c r="B2" s="16" t="s">
        <v>1018</v>
      </c>
      <c r="C2" s="16"/>
      <c r="D2" s="16"/>
      <c r="E2" s="16"/>
      <c r="F2" s="16"/>
      <c r="G2" s="16"/>
      <c r="H2" s="16"/>
    </row>
    <row r="3" spans="1:8" ht="48" x14ac:dyDescent="0.2">
      <c r="A3" s="17" t="s">
        <v>1017</v>
      </c>
      <c r="B3" s="17" t="s">
        <v>1018</v>
      </c>
      <c r="C3" s="18" t="s">
        <v>1019</v>
      </c>
      <c r="D3" s="19" t="s">
        <v>1020</v>
      </c>
      <c r="E3" s="29">
        <v>1</v>
      </c>
      <c r="F3" s="21" t="s">
        <v>45</v>
      </c>
      <c r="G3" s="19"/>
      <c r="H3" s="19"/>
    </row>
    <row r="4" spans="1:8" ht="64" x14ac:dyDescent="0.2">
      <c r="A4" s="24" t="s">
        <v>1017</v>
      </c>
      <c r="B4" s="24" t="s">
        <v>1018</v>
      </c>
      <c r="C4" s="25" t="s">
        <v>1021</v>
      </c>
      <c r="D4" s="26" t="s">
        <v>1022</v>
      </c>
      <c r="E4" s="20">
        <v>2</v>
      </c>
      <c r="F4" s="21" t="s">
        <v>205</v>
      </c>
      <c r="G4" s="26"/>
      <c r="H4" s="26"/>
    </row>
    <row r="5" spans="1:8" ht="96" x14ac:dyDescent="0.2">
      <c r="A5" s="17" t="s">
        <v>1017</v>
      </c>
      <c r="B5" s="17" t="s">
        <v>1018</v>
      </c>
      <c r="C5" s="18" t="s">
        <v>1023</v>
      </c>
      <c r="D5" s="19" t="s">
        <v>1024</v>
      </c>
      <c r="E5" s="20">
        <v>2</v>
      </c>
      <c r="F5" s="21" t="s">
        <v>399</v>
      </c>
      <c r="G5" s="19"/>
      <c r="H5" s="19"/>
    </row>
    <row r="6" spans="1:8" ht="176" x14ac:dyDescent="0.2">
      <c r="A6" s="24" t="s">
        <v>1017</v>
      </c>
      <c r="B6" s="24" t="s">
        <v>1018</v>
      </c>
      <c r="C6" s="25" t="s">
        <v>1025</v>
      </c>
      <c r="D6" s="26" t="s">
        <v>1026</v>
      </c>
      <c r="E6" s="30">
        <v>3</v>
      </c>
      <c r="F6" s="21" t="s">
        <v>45</v>
      </c>
      <c r="G6" s="26" t="s">
        <v>1027</v>
      </c>
      <c r="H6" s="26" t="s">
        <v>154</v>
      </c>
    </row>
    <row r="7" spans="1:8" ht="32" x14ac:dyDescent="0.2">
      <c r="A7" s="17" t="s">
        <v>1017</v>
      </c>
      <c r="B7" s="17" t="s">
        <v>1018</v>
      </c>
      <c r="C7" s="18" t="s">
        <v>1028</v>
      </c>
      <c r="D7" s="19" t="s">
        <v>1029</v>
      </c>
      <c r="E7" s="30">
        <v>3</v>
      </c>
      <c r="F7" s="21" t="s">
        <v>45</v>
      </c>
      <c r="G7" s="19"/>
      <c r="H7" s="19"/>
    </row>
    <row r="8" spans="1:8" x14ac:dyDescent="0.2">
      <c r="A8" s="16" t="s">
        <v>1030</v>
      </c>
      <c r="B8" s="16" t="s">
        <v>1031</v>
      </c>
      <c r="C8" s="16"/>
      <c r="D8" s="16"/>
      <c r="E8" s="16"/>
      <c r="F8" s="16"/>
      <c r="G8" s="16"/>
      <c r="H8" s="16"/>
    </row>
    <row r="9" spans="1:8" ht="32" x14ac:dyDescent="0.2">
      <c r="A9" s="17" t="s">
        <v>1030</v>
      </c>
      <c r="B9" s="17" t="s">
        <v>1031</v>
      </c>
      <c r="C9" s="18" t="s">
        <v>1032</v>
      </c>
      <c r="D9" s="19" t="s">
        <v>1033</v>
      </c>
      <c r="E9" s="29">
        <v>1</v>
      </c>
      <c r="F9" s="21" t="s">
        <v>399</v>
      </c>
      <c r="G9" s="19"/>
      <c r="H9" s="19"/>
    </row>
    <row r="10" spans="1:8" ht="64" x14ac:dyDescent="0.2">
      <c r="A10" s="24" t="s">
        <v>1030</v>
      </c>
      <c r="B10" s="24" t="s">
        <v>1031</v>
      </c>
      <c r="C10" s="25" t="s">
        <v>1034</v>
      </c>
      <c r="D10" s="26" t="s">
        <v>1035</v>
      </c>
      <c r="E10" s="20">
        <v>2</v>
      </c>
      <c r="F10" s="21" t="s">
        <v>205</v>
      </c>
      <c r="G10" s="26"/>
      <c r="H10" s="26"/>
    </row>
    <row r="11" spans="1:8" ht="144" x14ac:dyDescent="0.2">
      <c r="A11" s="17" t="s">
        <v>1030</v>
      </c>
      <c r="B11" s="17" t="s">
        <v>1031</v>
      </c>
      <c r="C11" s="18" t="s">
        <v>1036</v>
      </c>
      <c r="D11" s="19" t="s">
        <v>1037</v>
      </c>
      <c r="E11" s="20">
        <v>2</v>
      </c>
      <c r="F11" s="21" t="s">
        <v>45</v>
      </c>
      <c r="G11" s="19" t="s">
        <v>1038</v>
      </c>
      <c r="H11" s="19" t="s">
        <v>1039</v>
      </c>
    </row>
    <row r="12" spans="1:8" ht="48" x14ac:dyDescent="0.2">
      <c r="A12" s="24" t="s">
        <v>1030</v>
      </c>
      <c r="B12" s="24" t="s">
        <v>1031</v>
      </c>
      <c r="C12" s="25" t="s">
        <v>1040</v>
      </c>
      <c r="D12" s="26" t="s">
        <v>1041</v>
      </c>
      <c r="E12" s="30">
        <v>3</v>
      </c>
      <c r="F12" s="21" t="s">
        <v>45</v>
      </c>
      <c r="G12" s="26"/>
      <c r="H12" s="26"/>
    </row>
    <row r="13" spans="1:8" ht="112" x14ac:dyDescent="0.2">
      <c r="A13" s="17" t="s">
        <v>1030</v>
      </c>
      <c r="B13" s="17" t="s">
        <v>1031</v>
      </c>
      <c r="C13" s="18" t="s">
        <v>1042</v>
      </c>
      <c r="D13" s="19" t="s">
        <v>1043</v>
      </c>
      <c r="E13" s="30">
        <v>3</v>
      </c>
      <c r="F13" s="21" t="s">
        <v>399</v>
      </c>
      <c r="G13" s="19"/>
      <c r="H13" s="19"/>
    </row>
    <row r="14" spans="1:8" x14ac:dyDescent="0.2">
      <c r="A14" s="16" t="s">
        <v>1044</v>
      </c>
      <c r="B14" s="16" t="s">
        <v>1045</v>
      </c>
      <c r="C14" s="16"/>
      <c r="D14" s="16"/>
      <c r="E14" s="16"/>
      <c r="F14" s="16"/>
      <c r="G14" s="16"/>
      <c r="H14" s="16"/>
    </row>
    <row r="15" spans="1:8" ht="48" x14ac:dyDescent="0.2">
      <c r="A15" s="17" t="s">
        <v>1044</v>
      </c>
      <c r="B15" s="17" t="s">
        <v>1045</v>
      </c>
      <c r="C15" s="18" t="s">
        <v>1046</v>
      </c>
      <c r="D15" s="19" t="s">
        <v>1047</v>
      </c>
      <c r="E15" s="29">
        <v>1</v>
      </c>
      <c r="F15" s="21" t="s">
        <v>205</v>
      </c>
      <c r="G15" s="19"/>
      <c r="H15" s="19"/>
    </row>
    <row r="16" spans="1:8" ht="32" x14ac:dyDescent="0.2">
      <c r="A16" s="24" t="s">
        <v>1044</v>
      </c>
      <c r="B16" s="24" t="s">
        <v>1045</v>
      </c>
      <c r="C16" s="25" t="s">
        <v>1048</v>
      </c>
      <c r="D16" s="26" t="s">
        <v>1049</v>
      </c>
      <c r="E16" s="20">
        <v>2</v>
      </c>
      <c r="F16" s="21" t="s">
        <v>60</v>
      </c>
      <c r="G16" s="26"/>
      <c r="H16" s="26"/>
    </row>
    <row r="17" spans="1:8" ht="240" x14ac:dyDescent="0.2">
      <c r="A17" s="17" t="s">
        <v>1044</v>
      </c>
      <c r="B17" s="17" t="s">
        <v>1045</v>
      </c>
      <c r="C17" s="18" t="s">
        <v>1050</v>
      </c>
      <c r="D17" s="19" t="s">
        <v>1051</v>
      </c>
      <c r="E17" s="20">
        <v>2</v>
      </c>
      <c r="F17" s="21" t="s">
        <v>45</v>
      </c>
      <c r="G17" s="19" t="s">
        <v>1052</v>
      </c>
      <c r="H17" s="19" t="s">
        <v>1053</v>
      </c>
    </row>
    <row r="18" spans="1:8" ht="96" x14ac:dyDescent="0.2">
      <c r="A18" s="24" t="s">
        <v>1044</v>
      </c>
      <c r="B18" s="24" t="s">
        <v>1045</v>
      </c>
      <c r="C18" s="25" t="s">
        <v>1054</v>
      </c>
      <c r="D18" s="26" t="s">
        <v>1055</v>
      </c>
      <c r="E18" s="20">
        <v>2</v>
      </c>
      <c r="F18" s="21" t="s">
        <v>399</v>
      </c>
      <c r="G18" s="26"/>
      <c r="H18" s="26"/>
    </row>
    <row r="19" spans="1:8" ht="64" x14ac:dyDescent="0.2">
      <c r="A19" s="17" t="s">
        <v>1044</v>
      </c>
      <c r="B19" s="17" t="s">
        <v>1045</v>
      </c>
      <c r="C19" s="18" t="s">
        <v>1056</v>
      </c>
      <c r="D19" s="19" t="s">
        <v>1057</v>
      </c>
      <c r="E19" s="20">
        <v>2</v>
      </c>
      <c r="F19" s="21" t="s">
        <v>45</v>
      </c>
      <c r="G19" s="19"/>
      <c r="H19" s="19"/>
    </row>
    <row r="20" spans="1:8" ht="32" x14ac:dyDescent="0.2">
      <c r="A20" s="24" t="s">
        <v>1044</v>
      </c>
      <c r="B20" s="24" t="s">
        <v>1045</v>
      </c>
      <c r="C20" s="25" t="s">
        <v>1058</v>
      </c>
      <c r="D20" s="26" t="s">
        <v>1059</v>
      </c>
      <c r="E20" s="20">
        <v>2</v>
      </c>
      <c r="F20" s="21" t="s">
        <v>60</v>
      </c>
      <c r="G20" s="26"/>
      <c r="H20" s="26"/>
    </row>
    <row r="21" spans="1:8" ht="64" x14ac:dyDescent="0.2">
      <c r="A21" s="17" t="s">
        <v>1044</v>
      </c>
      <c r="B21" s="17" t="s">
        <v>1045</v>
      </c>
      <c r="C21" s="18" t="s">
        <v>1060</v>
      </c>
      <c r="D21" s="19" t="s">
        <v>1061</v>
      </c>
      <c r="E21" s="20">
        <v>2</v>
      </c>
      <c r="F21" s="21" t="s">
        <v>205</v>
      </c>
      <c r="G21" s="19"/>
      <c r="H21" s="19"/>
    </row>
    <row r="22" spans="1:8" x14ac:dyDescent="0.2">
      <c r="A22" s="16" t="s">
        <v>1062</v>
      </c>
      <c r="B22" s="16" t="s">
        <v>1063</v>
      </c>
      <c r="C22" s="16"/>
      <c r="D22" s="16"/>
      <c r="E22" s="16"/>
      <c r="F22" s="16"/>
      <c r="G22" s="16"/>
      <c r="H22" s="16"/>
    </row>
    <row r="23" spans="1:8" ht="64" x14ac:dyDescent="0.2">
      <c r="A23" s="17" t="s">
        <v>1062</v>
      </c>
      <c r="B23" s="17" t="s">
        <v>1063</v>
      </c>
      <c r="C23" s="18" t="s">
        <v>1064</v>
      </c>
      <c r="D23" s="19" t="s">
        <v>1065</v>
      </c>
      <c r="E23" s="30">
        <v>3</v>
      </c>
      <c r="F23" s="21" t="s">
        <v>205</v>
      </c>
      <c r="G23" s="19"/>
      <c r="H23" s="19"/>
    </row>
    <row r="24" spans="1:8" ht="192" x14ac:dyDescent="0.2">
      <c r="A24" s="24" t="s">
        <v>1062</v>
      </c>
      <c r="B24" s="24" t="s">
        <v>1063</v>
      </c>
      <c r="C24" s="25" t="s">
        <v>1066</v>
      </c>
      <c r="D24" s="26" t="s">
        <v>1067</v>
      </c>
      <c r="E24" s="30">
        <v>3</v>
      </c>
      <c r="F24" s="21" t="s">
        <v>45</v>
      </c>
      <c r="G24" s="26" t="s">
        <v>1068</v>
      </c>
      <c r="H24" s="26" t="s">
        <v>1069</v>
      </c>
    </row>
    <row r="25" spans="1:8" ht="80" x14ac:dyDescent="0.2">
      <c r="A25" s="17" t="s">
        <v>1062</v>
      </c>
      <c r="B25" s="17" t="s">
        <v>1063</v>
      </c>
      <c r="C25" s="18" t="s">
        <v>1070</v>
      </c>
      <c r="D25" s="19" t="s">
        <v>1071</v>
      </c>
      <c r="E25" s="30">
        <v>3</v>
      </c>
      <c r="F25" s="21" t="s">
        <v>60</v>
      </c>
      <c r="G25" s="19"/>
      <c r="H25" s="19"/>
    </row>
    <row r="26" spans="1:8" ht="48" x14ac:dyDescent="0.2">
      <c r="A26" s="24" t="s">
        <v>1062</v>
      </c>
      <c r="B26" s="24" t="s">
        <v>1063</v>
      </c>
      <c r="C26" s="25" t="s">
        <v>1072</v>
      </c>
      <c r="D26" s="26" t="s">
        <v>1073</v>
      </c>
      <c r="E26" s="30">
        <v>3</v>
      </c>
      <c r="F26" s="21" t="s">
        <v>399</v>
      </c>
      <c r="G26" s="26"/>
      <c r="H26" s="26"/>
    </row>
  </sheetData>
  <conditionalFormatting sqref="F2:F26">
    <cfRule type="cellIs" dxfId="8" priority="2" operator="equal">
      <formula>"Compliant"</formula>
    </cfRule>
    <cfRule type="cellIs" dxfId="7" priority="3" operator="equal">
      <formula>"In Progress"</formula>
    </cfRule>
    <cfRule type="cellIs" dxfId="6"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tabSelected="1" zoomScaleNormal="100" workbookViewId="0">
      <pane ySplit="1" topLeftCell="A2" activePane="bottomLeft" state="frozen"/>
      <selection pane="bottomLeft" activeCell="G17" sqref="G17"/>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5" t="s">
        <v>33</v>
      </c>
      <c r="B1" s="15" t="s">
        <v>34</v>
      </c>
      <c r="C1" s="15" t="s">
        <v>35</v>
      </c>
      <c r="D1" s="15" t="s">
        <v>36</v>
      </c>
      <c r="E1" s="15" t="s">
        <v>37</v>
      </c>
      <c r="F1" s="15" t="s">
        <v>38</v>
      </c>
      <c r="G1" s="15" t="s">
        <v>39</v>
      </c>
      <c r="H1" s="15" t="s">
        <v>40</v>
      </c>
    </row>
    <row r="2" spans="1:8" ht="18" customHeight="1" x14ac:dyDescent="0.2">
      <c r="A2" s="16" t="s">
        <v>1074</v>
      </c>
      <c r="B2" s="16" t="s">
        <v>1075</v>
      </c>
      <c r="C2" s="16"/>
      <c r="D2" s="16"/>
      <c r="E2" s="16"/>
      <c r="F2" s="16"/>
      <c r="G2" s="16"/>
      <c r="H2" s="16"/>
    </row>
    <row r="3" spans="1:8" ht="30" customHeight="1" x14ac:dyDescent="0.2">
      <c r="A3" s="17" t="s">
        <v>1074</v>
      </c>
      <c r="B3" s="17" t="s">
        <v>1075</v>
      </c>
      <c r="C3" s="18" t="s">
        <v>1076</v>
      </c>
      <c r="D3" s="19" t="s">
        <v>1077</v>
      </c>
      <c r="E3" s="20">
        <v>2</v>
      </c>
      <c r="F3" s="21" t="s">
        <v>399</v>
      </c>
      <c r="G3" s="19"/>
      <c r="H3" s="19"/>
    </row>
    <row r="4" spans="1:8" ht="18" customHeight="1" x14ac:dyDescent="0.2">
      <c r="A4" s="16" t="s">
        <v>1078</v>
      </c>
      <c r="B4" s="16" t="s">
        <v>1079</v>
      </c>
      <c r="C4" s="16"/>
      <c r="D4" s="16"/>
      <c r="E4" s="16"/>
      <c r="F4" s="16"/>
      <c r="G4" s="16"/>
      <c r="H4" s="16"/>
    </row>
    <row r="5" spans="1:8" ht="30" customHeight="1" x14ac:dyDescent="0.2">
      <c r="A5" s="17" t="s">
        <v>1078</v>
      </c>
      <c r="B5" s="17" t="s">
        <v>1079</v>
      </c>
      <c r="C5" s="18" t="s">
        <v>1080</v>
      </c>
      <c r="D5" s="19" t="s">
        <v>1081</v>
      </c>
      <c r="E5" s="20">
        <v>2</v>
      </c>
      <c r="F5" s="21" t="s">
        <v>45</v>
      </c>
      <c r="G5" s="19" t="s">
        <v>1082</v>
      </c>
      <c r="H5" s="19" t="s">
        <v>1083</v>
      </c>
    </row>
    <row r="6" spans="1:8" ht="30" customHeight="1" x14ac:dyDescent="0.2">
      <c r="A6" s="24" t="s">
        <v>1078</v>
      </c>
      <c r="B6" s="24" t="s">
        <v>1079</v>
      </c>
      <c r="C6" s="25" t="s">
        <v>1084</v>
      </c>
      <c r="D6" s="26" t="s">
        <v>1085</v>
      </c>
      <c r="E6" s="20">
        <v>2</v>
      </c>
      <c r="F6" s="21" t="s">
        <v>45</v>
      </c>
      <c r="G6" s="26"/>
      <c r="H6" s="26"/>
    </row>
    <row r="7" spans="1:8" ht="30" customHeight="1" x14ac:dyDescent="0.2">
      <c r="A7" s="17" t="s">
        <v>1078</v>
      </c>
      <c r="B7" s="17" t="s">
        <v>1079</v>
      </c>
      <c r="C7" s="18" t="s">
        <v>1086</v>
      </c>
      <c r="D7" s="19" t="s">
        <v>1087</v>
      </c>
      <c r="E7" s="20">
        <v>2</v>
      </c>
      <c r="F7" s="21" t="s">
        <v>399</v>
      </c>
      <c r="G7" s="19"/>
      <c r="H7" s="19"/>
    </row>
    <row r="8" spans="1:8" ht="30" customHeight="1" x14ac:dyDescent="0.2">
      <c r="A8" s="24" t="s">
        <v>1078</v>
      </c>
      <c r="B8" s="24" t="s">
        <v>1079</v>
      </c>
      <c r="C8" s="25" t="s">
        <v>1088</v>
      </c>
      <c r="D8" s="26" t="s">
        <v>1089</v>
      </c>
      <c r="E8" s="20">
        <v>2</v>
      </c>
      <c r="F8" s="21" t="s">
        <v>399</v>
      </c>
      <c r="G8" s="26"/>
      <c r="H8" s="26"/>
    </row>
    <row r="9" spans="1:8" ht="30" customHeight="1" x14ac:dyDescent="0.2">
      <c r="A9" s="17" t="s">
        <v>1078</v>
      </c>
      <c r="B9" s="17" t="s">
        <v>1079</v>
      </c>
      <c r="C9" s="18" t="s">
        <v>1090</v>
      </c>
      <c r="D9" s="19" t="s">
        <v>1091</v>
      </c>
      <c r="E9" s="20">
        <v>2</v>
      </c>
      <c r="F9" s="21" t="s">
        <v>399</v>
      </c>
      <c r="G9" s="19" t="s">
        <v>1092</v>
      </c>
      <c r="H9" s="19" t="s">
        <v>1093</v>
      </c>
    </row>
    <row r="10" spans="1:8" ht="18" customHeight="1" x14ac:dyDescent="0.2">
      <c r="A10" s="16" t="s">
        <v>1094</v>
      </c>
      <c r="B10" s="16" t="s">
        <v>1095</v>
      </c>
      <c r="C10" s="16"/>
      <c r="D10" s="16"/>
      <c r="E10" s="16"/>
      <c r="F10" s="16"/>
      <c r="G10" s="16"/>
      <c r="H10" s="16"/>
    </row>
    <row r="11" spans="1:8" ht="30" customHeight="1" x14ac:dyDescent="0.2">
      <c r="A11" s="17" t="s">
        <v>1094</v>
      </c>
      <c r="B11" s="17" t="s">
        <v>1095</v>
      </c>
      <c r="C11" s="18" t="s">
        <v>1096</v>
      </c>
      <c r="D11" s="19" t="s">
        <v>1097</v>
      </c>
      <c r="E11" s="20">
        <v>2</v>
      </c>
      <c r="F11" s="21" t="s">
        <v>45</v>
      </c>
      <c r="G11" s="19"/>
      <c r="H11" s="19"/>
    </row>
    <row r="12" spans="1:8" ht="30" customHeight="1" x14ac:dyDescent="0.2">
      <c r="A12" s="24" t="s">
        <v>1094</v>
      </c>
      <c r="B12" s="24" t="s">
        <v>1095</v>
      </c>
      <c r="C12" s="25" t="s">
        <v>1098</v>
      </c>
      <c r="D12" s="26" t="s">
        <v>1099</v>
      </c>
      <c r="E12" s="20">
        <v>2</v>
      </c>
      <c r="F12" s="21" t="s">
        <v>399</v>
      </c>
      <c r="G12" s="26"/>
      <c r="H12" s="26"/>
    </row>
    <row r="13" spans="1:8" ht="30" customHeight="1" x14ac:dyDescent="0.2">
      <c r="A13" s="17" t="s">
        <v>1094</v>
      </c>
      <c r="B13" s="17" t="s">
        <v>1095</v>
      </c>
      <c r="C13" s="18" t="s">
        <v>1100</v>
      </c>
      <c r="D13" s="19" t="s">
        <v>1101</v>
      </c>
      <c r="E13" s="20">
        <v>2</v>
      </c>
      <c r="F13" s="21" t="s">
        <v>399</v>
      </c>
      <c r="G13" s="19"/>
      <c r="H13" s="19"/>
    </row>
    <row r="14" spans="1:8" ht="30" customHeight="1" x14ac:dyDescent="0.2">
      <c r="A14" s="24" t="s">
        <v>1094</v>
      </c>
      <c r="B14" s="24" t="s">
        <v>1095</v>
      </c>
      <c r="C14" s="25" t="s">
        <v>1102</v>
      </c>
      <c r="D14" s="26" t="s">
        <v>1103</v>
      </c>
      <c r="E14" s="20">
        <v>2</v>
      </c>
      <c r="F14" s="21" t="s">
        <v>45</v>
      </c>
      <c r="G14" s="26" t="s">
        <v>1104</v>
      </c>
      <c r="H14" s="26" t="s">
        <v>1105</v>
      </c>
    </row>
    <row r="15" spans="1:8" ht="18" customHeight="1" x14ac:dyDescent="0.2">
      <c r="A15" s="16" t="s">
        <v>1106</v>
      </c>
      <c r="B15" s="16" t="s">
        <v>1107</v>
      </c>
      <c r="C15" s="16"/>
      <c r="D15" s="16"/>
      <c r="E15" s="16"/>
      <c r="F15" s="16"/>
      <c r="G15" s="16"/>
      <c r="H15" s="16"/>
    </row>
    <row r="16" spans="1:8" ht="30" customHeight="1" x14ac:dyDescent="0.2">
      <c r="A16" s="17" t="s">
        <v>1106</v>
      </c>
      <c r="B16" s="17" t="s">
        <v>1107</v>
      </c>
      <c r="C16" s="18" t="s">
        <v>1108</v>
      </c>
      <c r="D16" s="19" t="s">
        <v>1109</v>
      </c>
      <c r="E16" s="20">
        <v>2</v>
      </c>
      <c r="F16" s="21" t="s">
        <v>399</v>
      </c>
      <c r="G16" s="19" t="s">
        <v>1165</v>
      </c>
      <c r="H16" s="19"/>
    </row>
    <row r="17" spans="1:8" ht="30" customHeight="1" x14ac:dyDescent="0.2">
      <c r="A17" s="24" t="s">
        <v>1106</v>
      </c>
      <c r="B17" s="24" t="s">
        <v>1107</v>
      </c>
      <c r="C17" s="25" t="s">
        <v>1110</v>
      </c>
      <c r="D17" s="26" t="s">
        <v>1111</v>
      </c>
      <c r="E17" s="20">
        <v>2</v>
      </c>
      <c r="F17" s="21" t="s">
        <v>399</v>
      </c>
      <c r="G17" s="26"/>
      <c r="H17" s="26"/>
    </row>
    <row r="18" spans="1:8" ht="30" customHeight="1" x14ac:dyDescent="0.2">
      <c r="A18" s="17" t="s">
        <v>1106</v>
      </c>
      <c r="B18" s="17" t="s">
        <v>1107</v>
      </c>
      <c r="C18" s="18" t="s">
        <v>1112</v>
      </c>
      <c r="D18" s="19" t="s">
        <v>1113</v>
      </c>
      <c r="E18" s="20">
        <v>2</v>
      </c>
      <c r="F18" s="21" t="s">
        <v>399</v>
      </c>
      <c r="G18" s="19"/>
      <c r="H18" s="19"/>
    </row>
    <row r="19" spans="1:8" ht="18" customHeight="1" x14ac:dyDescent="0.2">
      <c r="A19" s="16" t="s">
        <v>1114</v>
      </c>
      <c r="B19" s="16" t="s">
        <v>1115</v>
      </c>
      <c r="C19" s="16"/>
      <c r="D19" s="16"/>
      <c r="E19" s="16"/>
      <c r="F19" s="16"/>
      <c r="G19" s="16"/>
      <c r="H19" s="16"/>
    </row>
    <row r="20" spans="1:8" ht="30" customHeight="1" x14ac:dyDescent="0.2">
      <c r="A20" s="17" t="s">
        <v>1114</v>
      </c>
      <c r="B20" s="17" t="s">
        <v>1115</v>
      </c>
      <c r="C20" s="18" t="s">
        <v>1116</v>
      </c>
      <c r="D20" s="19" t="s">
        <v>1117</v>
      </c>
      <c r="E20" s="20">
        <v>2</v>
      </c>
      <c r="F20" s="21" t="s">
        <v>45</v>
      </c>
      <c r="G20" s="19" t="s">
        <v>1118</v>
      </c>
      <c r="H20" s="19" t="s">
        <v>1105</v>
      </c>
    </row>
    <row r="21" spans="1:8" ht="30" customHeight="1" x14ac:dyDescent="0.2">
      <c r="A21" s="24" t="s">
        <v>1114</v>
      </c>
      <c r="B21" s="24" t="s">
        <v>1115</v>
      </c>
      <c r="C21" s="25" t="s">
        <v>1119</v>
      </c>
      <c r="D21" s="26" t="s">
        <v>1120</v>
      </c>
      <c r="E21" s="20">
        <v>2</v>
      </c>
      <c r="F21" s="21" t="s">
        <v>45</v>
      </c>
      <c r="G21" s="26" t="s">
        <v>1166</v>
      </c>
      <c r="H21" s="26"/>
    </row>
    <row r="22" spans="1:8" ht="30" customHeight="1" x14ac:dyDescent="0.2">
      <c r="A22" s="17" t="s">
        <v>1114</v>
      </c>
      <c r="B22" s="17" t="s">
        <v>1115</v>
      </c>
      <c r="C22" s="18" t="s">
        <v>1121</v>
      </c>
      <c r="D22" s="19" t="s">
        <v>1122</v>
      </c>
      <c r="E22" s="20">
        <v>2</v>
      </c>
      <c r="F22" s="21" t="s">
        <v>205</v>
      </c>
      <c r="G22" s="19"/>
      <c r="H22" s="19"/>
    </row>
    <row r="23" spans="1:8" ht="30" customHeight="1" x14ac:dyDescent="0.2">
      <c r="A23" s="24" t="s">
        <v>1114</v>
      </c>
      <c r="B23" s="24" t="s">
        <v>1115</v>
      </c>
      <c r="C23" s="25" t="s">
        <v>1123</v>
      </c>
      <c r="D23" s="26" t="s">
        <v>1124</v>
      </c>
      <c r="E23" s="30">
        <v>3</v>
      </c>
      <c r="F23" s="21" t="s">
        <v>205</v>
      </c>
      <c r="G23" s="26"/>
      <c r="H23" s="26"/>
    </row>
  </sheetData>
  <conditionalFormatting sqref="F2:F23">
    <cfRule type="cellIs" dxfId="5" priority="2" operator="equal">
      <formula>"Compliant"</formula>
    </cfRule>
    <cfRule type="cellIs" dxfId="4" priority="3" operator="equal">
      <formula>"In Progress"</formula>
    </cfRule>
    <cfRule type="cellIs" dxfId="3"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Normal="100" workbookViewId="0">
      <pane ySplit="1" topLeftCell="A2" activePane="bottomLeft" state="frozen"/>
      <selection pane="bottomLeft" activeCell="F16" sqref="F16"/>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75" customHeight="1" x14ac:dyDescent="0.2">
      <c r="A1" s="15" t="s">
        <v>33</v>
      </c>
      <c r="B1" s="15" t="s">
        <v>34</v>
      </c>
      <c r="C1" s="15" t="s">
        <v>35</v>
      </c>
      <c r="D1" s="15" t="s">
        <v>36</v>
      </c>
      <c r="E1" s="15" t="s">
        <v>37</v>
      </c>
      <c r="F1" s="15" t="s">
        <v>38</v>
      </c>
      <c r="G1" s="15" t="s">
        <v>39</v>
      </c>
      <c r="H1" s="15" t="s">
        <v>40</v>
      </c>
    </row>
    <row r="2" spans="1:8" ht="18" customHeight="1" x14ac:dyDescent="0.2">
      <c r="A2" s="16" t="s">
        <v>1125</v>
      </c>
      <c r="B2" s="16" t="s">
        <v>1126</v>
      </c>
      <c r="C2" s="16"/>
      <c r="D2" s="16"/>
      <c r="E2" s="16"/>
      <c r="F2" s="16"/>
      <c r="G2" s="16"/>
      <c r="H2" s="16"/>
    </row>
    <row r="3" spans="1:8" ht="30" customHeight="1" x14ac:dyDescent="0.2">
      <c r="A3" s="17" t="s">
        <v>1125</v>
      </c>
      <c r="B3" s="17" t="s">
        <v>1126</v>
      </c>
      <c r="C3" s="18" t="s">
        <v>1127</v>
      </c>
      <c r="D3" s="19" t="s">
        <v>1128</v>
      </c>
      <c r="E3" s="20">
        <v>2</v>
      </c>
      <c r="F3" s="21" t="s">
        <v>60</v>
      </c>
      <c r="G3" s="19"/>
      <c r="H3" s="19"/>
    </row>
    <row r="4" spans="1:8" ht="30" customHeight="1" x14ac:dyDescent="0.2">
      <c r="A4" s="24" t="s">
        <v>1125</v>
      </c>
      <c r="B4" s="24" t="s">
        <v>1126</v>
      </c>
      <c r="C4" s="25" t="s">
        <v>1129</v>
      </c>
      <c r="D4" s="26" t="s">
        <v>1130</v>
      </c>
      <c r="E4" s="30">
        <v>3</v>
      </c>
      <c r="F4" s="21" t="s">
        <v>60</v>
      </c>
      <c r="G4" s="26"/>
      <c r="H4" s="26"/>
    </row>
    <row r="5" spans="1:8" ht="18" customHeight="1" x14ac:dyDescent="0.2">
      <c r="A5" s="16" t="s">
        <v>1131</v>
      </c>
      <c r="B5" s="16" t="s">
        <v>1132</v>
      </c>
      <c r="C5" s="16"/>
      <c r="D5" s="16"/>
      <c r="E5" s="16"/>
      <c r="F5" s="16"/>
      <c r="G5" s="16"/>
      <c r="H5" s="16"/>
    </row>
    <row r="6" spans="1:8" ht="30" customHeight="1" x14ac:dyDescent="0.2">
      <c r="A6" s="17" t="s">
        <v>1131</v>
      </c>
      <c r="B6" s="17" t="s">
        <v>1132</v>
      </c>
      <c r="C6" s="18" t="s">
        <v>1133</v>
      </c>
      <c r="D6" s="19" t="s">
        <v>1134</v>
      </c>
      <c r="E6" s="20">
        <v>2</v>
      </c>
      <c r="F6" s="21" t="s">
        <v>60</v>
      </c>
      <c r="G6" s="19"/>
      <c r="H6" s="19"/>
    </row>
    <row r="7" spans="1:8" ht="30" customHeight="1" x14ac:dyDescent="0.2">
      <c r="A7" s="24" t="s">
        <v>1131</v>
      </c>
      <c r="B7" s="24" t="s">
        <v>1132</v>
      </c>
      <c r="C7" s="25" t="s">
        <v>1135</v>
      </c>
      <c r="D7" s="26" t="s">
        <v>1136</v>
      </c>
      <c r="E7" s="20">
        <v>2</v>
      </c>
      <c r="F7" s="21" t="s">
        <v>60</v>
      </c>
      <c r="G7" s="26"/>
      <c r="H7" s="26"/>
    </row>
    <row r="8" spans="1:8" ht="30" customHeight="1" x14ac:dyDescent="0.2">
      <c r="A8" s="17" t="s">
        <v>1131</v>
      </c>
      <c r="B8" s="17" t="s">
        <v>1132</v>
      </c>
      <c r="C8" s="18" t="s">
        <v>1137</v>
      </c>
      <c r="D8" s="19" t="s">
        <v>1138</v>
      </c>
      <c r="E8" s="20">
        <v>2</v>
      </c>
      <c r="F8" s="21" t="s">
        <v>60</v>
      </c>
      <c r="G8" s="19"/>
      <c r="H8" s="19"/>
    </row>
    <row r="9" spans="1:8" ht="30" customHeight="1" x14ac:dyDescent="0.2">
      <c r="A9" s="24" t="s">
        <v>1131</v>
      </c>
      <c r="B9" s="24" t="s">
        <v>1132</v>
      </c>
      <c r="C9" s="25" t="s">
        <v>1139</v>
      </c>
      <c r="D9" s="26" t="s">
        <v>1140</v>
      </c>
      <c r="E9" s="20">
        <v>2</v>
      </c>
      <c r="F9" s="21" t="s">
        <v>60</v>
      </c>
      <c r="G9" s="26"/>
      <c r="H9" s="26"/>
    </row>
    <row r="10" spans="1:8" ht="30" customHeight="1" x14ac:dyDescent="0.2">
      <c r="A10" s="17" t="s">
        <v>1131</v>
      </c>
      <c r="B10" s="17" t="s">
        <v>1132</v>
      </c>
      <c r="C10" s="18" t="s">
        <v>1141</v>
      </c>
      <c r="D10" s="19" t="s">
        <v>1142</v>
      </c>
      <c r="E10" s="30">
        <v>3</v>
      </c>
      <c r="F10" s="21" t="s">
        <v>60</v>
      </c>
      <c r="G10" s="19"/>
      <c r="H10" s="19"/>
    </row>
    <row r="11" spans="1:8" ht="30" customHeight="1" x14ac:dyDescent="0.2">
      <c r="A11" s="24" t="s">
        <v>1131</v>
      </c>
      <c r="B11" s="24" t="s">
        <v>1132</v>
      </c>
      <c r="C11" s="25" t="s">
        <v>1143</v>
      </c>
      <c r="D11" s="26" t="s">
        <v>1144</v>
      </c>
      <c r="E11" s="30">
        <v>3</v>
      </c>
      <c r="F11" s="21" t="s">
        <v>60</v>
      </c>
      <c r="G11" s="26"/>
      <c r="H11" s="26"/>
    </row>
    <row r="12" spans="1:8" ht="30" customHeight="1" x14ac:dyDescent="0.2">
      <c r="A12" s="17" t="s">
        <v>1131</v>
      </c>
      <c r="B12" s="17" t="s">
        <v>1132</v>
      </c>
      <c r="C12" s="18" t="s">
        <v>1145</v>
      </c>
      <c r="D12" s="19" t="s">
        <v>1146</v>
      </c>
      <c r="E12" s="30">
        <v>3</v>
      </c>
      <c r="F12" s="21" t="s">
        <v>60</v>
      </c>
      <c r="G12" s="19"/>
      <c r="H12" s="19"/>
    </row>
    <row r="13" spans="1:8" ht="30" customHeight="1" x14ac:dyDescent="0.2">
      <c r="A13" s="24" t="s">
        <v>1131</v>
      </c>
      <c r="B13" s="24" t="s">
        <v>1132</v>
      </c>
      <c r="C13" s="25" t="s">
        <v>1147</v>
      </c>
      <c r="D13" s="26" t="s">
        <v>1148</v>
      </c>
      <c r="E13" s="30">
        <v>3</v>
      </c>
      <c r="F13" s="21" t="s">
        <v>60</v>
      </c>
      <c r="G13" s="26"/>
      <c r="H13" s="26"/>
    </row>
    <row r="14" spans="1:8" ht="18" customHeight="1" x14ac:dyDescent="0.2">
      <c r="A14" s="16" t="s">
        <v>1149</v>
      </c>
      <c r="B14" s="16" t="s">
        <v>1150</v>
      </c>
      <c r="C14" s="16"/>
      <c r="D14" s="16"/>
      <c r="E14" s="16"/>
      <c r="F14" s="16"/>
      <c r="G14" s="16"/>
      <c r="H14" s="16"/>
    </row>
    <row r="15" spans="1:8" ht="30" customHeight="1" x14ac:dyDescent="0.2">
      <c r="A15" s="17" t="s">
        <v>1149</v>
      </c>
      <c r="B15" s="17" t="s">
        <v>1150</v>
      </c>
      <c r="C15" s="18" t="s">
        <v>1151</v>
      </c>
      <c r="D15" s="19" t="s">
        <v>1152</v>
      </c>
      <c r="E15" s="20">
        <v>2</v>
      </c>
      <c r="F15" s="21" t="s">
        <v>60</v>
      </c>
      <c r="G15" s="19"/>
      <c r="H15" s="19"/>
    </row>
    <row r="16" spans="1:8" ht="30" customHeight="1" x14ac:dyDescent="0.2">
      <c r="A16" s="24" t="s">
        <v>1149</v>
      </c>
      <c r="B16" s="24" t="s">
        <v>1150</v>
      </c>
      <c r="C16" s="25" t="s">
        <v>1153</v>
      </c>
      <c r="D16" s="26" t="s">
        <v>1154</v>
      </c>
      <c r="E16" s="20">
        <v>2</v>
      </c>
      <c r="F16" s="21" t="s">
        <v>60</v>
      </c>
      <c r="G16" s="26"/>
      <c r="H16" s="26"/>
    </row>
  </sheetData>
  <conditionalFormatting sqref="F2:F16">
    <cfRule type="cellIs" dxfId="2" priority="2" operator="equal">
      <formula>"Compliant"</formula>
    </cfRule>
    <cfRule type="cellIs" dxfId="1" priority="3" operator="equal">
      <formula>"In Progress"</formula>
    </cfRule>
    <cfRule type="cellIs" dxfId="0"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11023622047" footer="0.511811023622047"/>
  <pageSetup orientation="portrait" useFirstPageNumber="1" horizontalDpi="300" verticalDpi="300"/>
</worksheet>
</file>

<file path=docProps/app.xml><?xml version="1.0" encoding="utf-8"?>
<Properties xmlns="http://schemas.openxmlformats.org/officeDocument/2006/extended-properties" xmlns:vt="http://schemas.openxmlformats.org/officeDocument/2006/docPropsVTypes">
  <Template/>
  <TotalTime>376</TotalTime>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Milan Marcinco</cp:lastModifiedBy>
  <cp:revision>15</cp:revision>
  <dcterms:created xsi:type="dcterms:W3CDTF">2026-03-04T10:14:28Z</dcterms:created>
  <dcterms:modified xsi:type="dcterms:W3CDTF">2026-06-16T18:20:24Z</dcterms:modified>
  <dc:language>pt-PT</dc:language>
</cp:coreProperties>
</file>