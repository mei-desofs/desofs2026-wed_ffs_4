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Summary" sheetId="1" state="visible" r:id="rId3"/>
    <sheet name="V1 - Encoding and Sanitization" sheetId="2" state="visible" r:id="rId4"/>
    <sheet name="V2 - Validation and Business Lo" sheetId="3" state="visible" r:id="rId5"/>
    <sheet name="V3 - Web Frontend Security" sheetId="4" state="visible" r:id="rId6"/>
    <sheet name="V4 - API and Web Service" sheetId="5" state="visible" r:id="rId7"/>
    <sheet name="V5 - File Handling" sheetId="6" state="visible" r:id="rId8"/>
    <sheet name="V6 - Authentication" sheetId="7" state="visible" r:id="rId9"/>
    <sheet name="V7 - Session Management" sheetId="8" state="visible" r:id="rId10"/>
    <sheet name="V8 - Authorization" sheetId="9" state="visible" r:id="rId11"/>
    <sheet name="V9 - Self-contained Tokens" sheetId="10" state="visible" r:id="rId12"/>
    <sheet name="V10 - OAuth and OIDC" sheetId="11" state="visible" r:id="rId13"/>
    <sheet name="V11 - Cryptography" sheetId="12" state="visible" r:id="rId14"/>
    <sheet name="V12 - Secure Communication" sheetId="13" state="visible" r:id="rId15"/>
    <sheet name="V13 - Configuration" sheetId="14" state="visible" r:id="rId16"/>
    <sheet name="V14 - Data Protection" sheetId="15" state="visible" r:id="rId17"/>
    <sheet name="V15 - Secure Coding and Archite" sheetId="16" state="visible" r:id="rId18"/>
    <sheet name="V16 - Security Logging and Erro" sheetId="17" state="visible" r:id="rId19"/>
    <sheet name="V17 - WebRTC"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<sst xmlns="http://schemas.openxmlformats.org/spreadsheetml/2006/main" count="2349" uniqueCount="1074">
  <si>
    <t xml:space="preserve">OWASP ASVS 5.0 – Compliance Tracker</t>
  </si>
  <si>
    <t xml:space="preserve">Chapter</t>
  </si>
  <si>
    <t xml:space="preserve">Total
Reqs</t>
  </si>
  <si>
    <t xml:space="preserve">L1
Total</t>
  </si>
  <si>
    <t xml:space="preserve">L1
Compliant</t>
  </si>
  <si>
    <t xml:space="preserve">L1
%</t>
  </si>
  <si>
    <t xml:space="preserve">L2
Total</t>
  </si>
  <si>
    <t xml:space="preserve">L2
Compliant</t>
  </si>
  <si>
    <t xml:space="preserve">L2
%</t>
  </si>
  <si>
    <t xml:space="preserve">L3
Total</t>
  </si>
  <si>
    <t xml:space="preserve">L3
Compliant</t>
  </si>
  <si>
    <t xml:space="preserve">L3
%</t>
  </si>
  <si>
    <t xml:space="preserve">Overall
Compliant</t>
  </si>
  <si>
    <t xml:space="preserve">Overall
%</t>
  </si>
  <si>
    <t xml:space="preserve">V1 – Encoding and Sanitization</t>
  </si>
  <si>
    <t xml:space="preserve">V2 – Validation and Business Logic</t>
  </si>
  <si>
    <t xml:space="preserve">V3 – Web Frontend Security</t>
  </si>
  <si>
    <t xml:space="preserve">V4 – API and Web Service</t>
  </si>
  <si>
    <t xml:space="preserve">V5 – File Handling</t>
  </si>
  <si>
    <t xml:space="preserve">V6 – Authentication</t>
  </si>
  <si>
    <t xml:space="preserve">V7 – Session Management</t>
  </si>
  <si>
    <t xml:space="preserve">V8 – Authorization</t>
  </si>
  <si>
    <t xml:space="preserve">V9 – Self-contained Tokens</t>
  </si>
  <si>
    <t xml:space="preserve">N/A</t>
  </si>
  <si>
    <t xml:space="preserve">V10 – OAuth and OIDC</t>
  </si>
  <si>
    <t xml:space="preserve">V11 – Cryptography</t>
  </si>
  <si>
    <t xml:space="preserve">V12 – Secure Communication</t>
  </si>
  <si>
    <t xml:space="preserve">V13 – Configuration</t>
  </si>
  <si>
    <t xml:space="preserve">V14 – Data Protection</t>
  </si>
  <si>
    <t xml:space="preserve">V15 – Secure Coding and Architecture</t>
  </si>
  <si>
    <t xml:space="preserve">V16 – Security Logging and Error Handling</t>
  </si>
  <si>
    <t xml:space="preserve">V17 – WebRTC</t>
  </si>
  <si>
    <t xml:space="preserve">TOTAL</t>
  </si>
  <si>
    <t xml:space="preserve">Section ID</t>
  </si>
  <si>
    <t xml:space="preserve">Section Name</t>
  </si>
  <si>
    <t xml:space="preserve">Req ID</t>
  </si>
  <si>
    <t xml:space="preserve">Description</t>
  </si>
  <si>
    <t xml:space="preserve">Level</t>
  </si>
  <si>
    <t xml:space="preserve">Status</t>
  </si>
  <si>
    <t xml:space="preserve">Observations</t>
  </si>
  <si>
    <t xml:space="preserve">Reference / Link</t>
  </si>
  <si>
    <t xml:space="preserve">V1.1</t>
  </si>
  <si>
    <t xml:space="preserve">Encoding and Sanitization Architecture</t>
  </si>
  <si>
    <t xml:space="preserve">V1.1.1</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</si>
  <si>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</si>
  <si>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Compliant</t>
  </si>
  <si>
    <t xml:space="preserve">getSafeOriginalName() uses StringUtils.cleanPath() for canonicalization; Spring/Jackson deserializes JSON input exactly once</t>
  </si>
  <si>
    <t xml:space="preserve">AttachmentService.java:getSafeOriginalName()</t>
  </si>
  <si>
    <t xml:space="preserve">V1.1.2</t>
  </si>
  <si>
    <t xml:space="preserve">Verify that the application performs output encoding and escaping either as a final step before being used by the interpreter for which it is intended or by the interpreter itself.</t>
  </si>
  <si>
    <t xml:space="preserve">JSON responses encoded by Jackson (sufficient for a REST API).</t>
  </si>
  <si>
    <t xml:space="preserve">CommentService.java:addComment()</t>
  </si>
  <si>
    <t xml:space="preserve">V1.2</t>
  </si>
  <si>
    <t xml:space="preserve">Injection Prevention</t>
  </si>
  <si>
    <t xml:space="preserve">V1.2.1</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</si>
  <si>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</si>
  <si>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Pure JSON REST API; Jackson handles all output encoding. No HTML or XML responses produced</t>
  </si>
  <si>
    <t xml:space="preserve">SecurityConfig.java, all controllers</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</si>
  <si>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</si>
  <si>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</si>
  <si>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Not Applicable</t>
  </si>
  <si>
    <t xml:space="preserve">No dynamic URL construction in the application</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</si>
  <si>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</si>
  <si>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</si>
  <si>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No JavaScript context output. REST API only.</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</si>
  <si>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</si>
  <si>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</si>
  <si>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JPA/Hibernate used for all DB access</t>
  </si>
  <si>
    <t xml:space="preserve">All *Repository.java files</t>
  </si>
  <si>
    <t xml:space="preserve">V1.2.5</t>
  </si>
  <si>
    <t xml:space="preserve">Verify that the application protects against OS command injection and that operating system calls use parameterized OS queries or use contextual command line output encoding.</t>
  </si>
  <si>
    <t xml:space="preserve">No OS command execution. File ops use Java NIO (Files.createDirectories, file.transferTo)</t>
  </si>
  <si>
    <t xml:space="preserve">AttachmentService.java</t>
  </si>
  <si>
    <t xml:space="preserve">V1.2.6</t>
  </si>
  <si>
    <t xml:space="preserve">Verify that the application protects against LDAP injection vulnerabilities, or that specific security controls to prevent LDAP injection have been implemented.</t>
  </si>
  <si>
    <t xml:space="preserve">No LDAP used</t>
  </si>
  <si>
    <t xml:space="preserve">V1.2.7</t>
  </si>
  <si>
    <t xml:space="preserve">Verify that the application is protected against XPath injection attacks by using query parameterization or precompiled queries.</t>
  </si>
  <si>
    <t xml:space="preserve">No XPath used</t>
  </si>
  <si>
    <t xml:space="preserve">V1.2.8</t>
  </si>
  <si>
    <t xml:space="preserve">Verify that LaTeX processors are configured securely (such as not using the "--shell-escape" flag) and an allowlist of commands is used to prevent LaTeX injection attacks.</t>
  </si>
  <si>
    <t xml:space="preserve">No LaTeX used</t>
  </si>
  <si>
    <t xml:space="preserve">V1.2.9</t>
  </si>
  <si>
    <t xml:space="preserve">Verify that the application escapes special characters in regular expressions (typically using a backslash) to prevent them from being misinterpreted as metacharacters.</t>
  </si>
  <si>
    <t xml:space="preserve">Only regex used is Pattern.compile("@(\\w+)"). Fixed pattern, no user input injected into regex</t>
  </si>
  <si>
    <t xml:space="preserve">CommentService.java:MENTION_PATTERN</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</si>
  <si>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</si>
  <si>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</si>
  <si>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No CSV export functionality</t>
  </si>
  <si>
    <t xml:space="preserve">V1.3</t>
  </si>
  <si>
    <t xml:space="preserve">Sanitization</t>
  </si>
  <si>
    <t xml:space="preserve">V1.3.1</t>
  </si>
  <si>
    <t xml:space="preserve">Verify that all untrusted HTML input from WYSIWYG editors or similar is sanitized using a well-known and secure HTML sanitization library or framework feature.</t>
  </si>
  <si>
    <t xml:space="preserve">No WYSIWYG editor or HTML input.</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</si>
  <si>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</si>
  <si>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</si>
  <si>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No eval(), no SpEL with user input. @EnableMethodSecurity used but no user-controlled expressions</t>
  </si>
  <si>
    <t xml:space="preserve">SecurityConfig.java, JwtAuthFilter.java</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</si>
  <si>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</si>
  <si>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</si>
  <si>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Input validated via Spring validation and custom checks before use.</t>
  </si>
  <si>
    <t xml:space="preserve">TaskService.validateTitle(), AttachmentService.validateFile()</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</si>
  <si>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</si>
  <si>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</si>
  <si>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No SVG upload or processing.</t>
  </si>
  <si>
    <t xml:space="preserve">V1.3.5</t>
  </si>
  <si>
    <t xml:space="preserve">Verify that the application sanitizes or disables user-supplied scriptable or expression template language content, such as Markdown, CSS or XSL stylesheets, BBCode, or similar.</t>
  </si>
  <si>
    <t xml:space="preserve">No template engine used</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</si>
  <si>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</si>
  <si>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</si>
  <si>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No outbound HTTP calls made by the application</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</si>
  <si>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</si>
  <si>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</si>
  <si>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No user-controlled templates</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</si>
  <si>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</si>
  <si>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</si>
  <si>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No JNDI lookups.</t>
  </si>
  <si>
    <t xml:space="preserve">V1.3.9</t>
  </si>
  <si>
    <t xml:space="preserve">Verify that the application sanitizes content before it is sent to memcache to prevent injection attacks.</t>
  </si>
  <si>
    <t xml:space="preserve">No memcache usage.</t>
  </si>
  <si>
    <t xml:space="preserve">V1.3.10</t>
  </si>
  <si>
    <t xml:space="preserve">Verify that format strings which might resolve in an unexpected or malicious way when used are sanitized before being processed.</t>
  </si>
  <si>
    <t xml:space="preserve">No user-controlled format strings. String.format() in AttachmentService uses only controlled values (UUID + extension)</t>
  </si>
  <si>
    <t xml:space="preserve">AttachmentService.java:store()</t>
  </si>
  <si>
    <t xml:space="preserve">V1.3.11</t>
  </si>
  <si>
    <t xml:space="preserve">Verify that the application sanitizes user input before passing to mail systems to protect against SMTP or IMAP injection.</t>
  </si>
  <si>
    <t xml:space="preserve">No email/SMTP functionality</t>
  </si>
  <si>
    <t xml:space="preserve">V1.3.12</t>
  </si>
  <si>
    <t xml:space="preserve">Verify that regular expressions are free from elements causing exponential backtracking, and ensure untrusted input is sanitized to mitigate ReDoS or Runaway Regex attacks.</t>
  </si>
  <si>
    <t xml:space="preserve">Only regex is @(\\w+) — simple, no nested quantifiers, no ReDoS risk</t>
  </si>
  <si>
    <t xml:space="preserve">V1.4</t>
  </si>
  <si>
    <t xml:space="preserve">Memory, String, and Unmanaged Code</t>
  </si>
  <si>
    <t xml:space="preserve">V1.4.1</t>
  </si>
  <si>
    <t xml:space="preserve">Verify that the application uses memory-safe string, safer memory copy and pointer arithmetic to detect or prevent stack, buffer, or heap overflows.</t>
  </si>
  <si>
    <t xml:space="preserve">Java/JVM is memory-safe by design, no pointer arithmetic</t>
  </si>
  <si>
    <t xml:space="preserve">V1.4.2</t>
  </si>
  <si>
    <t xml:space="preserve">Verify that sign, range, and input validation techniques are used to prevent integer overflows.</t>
  </si>
  <si>
    <t xml:space="preserve">Java/JVM. No integer overflow via pointer ops; language handles this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</si>
  <si>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</si>
  <si>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</si>
  <si>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JVM garbage collection; no manual memory management</t>
  </si>
  <si>
    <t xml:space="preserve">V1.5</t>
  </si>
  <si>
    <t xml:space="preserve">Safe Deserialization</t>
  </si>
  <si>
    <t xml:space="preserve">V1.5.1</t>
  </si>
  <si>
    <t xml:space="preserve">Verify that the application configures XML parsers to use a restrictive configuration and that unsafe features such as resolving external entities are disabled to prevent XML eXternal Entity (XXE) attacks.</t>
  </si>
  <si>
    <t xml:space="preserve">Uses Jackson for JSON parsing (default secure config). No XML parsing of untrusted data.</t>
  </si>
  <si>
    <t xml:space="preserve">JwtUtil.java</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</si>
  <si>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</si>
  <si>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</si>
  <si>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No deserialization of untrusted Java objects. Jackson deserializes to DTOs with known types only.</t>
  </si>
  <si>
    <t xml:space="preserve">All DTOs (CreateCommentRequest, etc.)</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</si>
  <si>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</si>
  <si>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</si>
  <si>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Single JSON parser (Jackson) used consistently.</t>
  </si>
  <si>
    <t xml:space="preserve">pom.xml</t>
  </si>
  <si>
    <t xml:space="preserve">V2.1</t>
  </si>
  <si>
    <t xml:space="preserve">Validation and Business Logic Documentation</t>
  </si>
  <si>
    <t xml:space="preserve">V2.1.1</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</si>
  <si>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</si>
  <si>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Validation rules documented and enforced in code. </t>
  </si>
  <si>
    <t xml:space="preserve">04_SecurityDesign.md, 01_Requirements.md SR-5/SR-6/SR-7, TaskService.java, CommentService.java, AttachmentService.java</t>
  </si>
  <si>
    <t xml:space="preserve">V2.1.2</t>
  </si>
  <si>
    <t xml:space="preserve">Verify that the application's documentation defines how to validate the logical and contextual consistency of combined data items, such as checking that suburb and ZIP code match.</t>
  </si>
  <si>
    <t xml:space="preserve">Contextual rules documented (FR-13, FR-15) and enforced — strict status pipeline, member self-assignment only</t>
  </si>
  <si>
    <t xml:space="preserve">TaskStatus.java, TaskService.java, 01_Requirements.md FR-13/FR-15</t>
  </si>
  <si>
    <t xml:space="preserve">V2.1.3</t>
  </si>
  <si>
    <t xml:space="preserve">Verify that expectations for business logic limits and validations are documented, including both per-user and globally across the application.</t>
  </si>
  <si>
    <t xml:space="preserve">Per-user (10 uploads/hour) and global limits (25MB, 5000 chars) documented in SR-14 and configurable via application.yml</t>
  </si>
  <si>
    <t xml:space="preserve">application.yml, 01_Requirements.md SR-14</t>
  </si>
  <si>
    <t xml:space="preserve">V2.2</t>
  </si>
  <si>
    <t xml:space="preserve">Input Validation</t>
  </si>
  <si>
    <t xml:space="preserve">V2.2.1</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</si>
  <si>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</si>
  <si>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All inputs validated in service layer.</t>
  </si>
  <si>
    <t xml:space="preserve">TaskService.java, CommentService.java, AttachmentService.java</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</si>
  <si>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</si>
  <si>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</si>
  <si>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All validation server-side only, no client-side validation exists</t>
  </si>
  <si>
    <t xml:space="preserve">04_SecurityDesign.md</t>
  </si>
  <si>
    <t xml:space="preserve">V2.2.3</t>
  </si>
  <si>
    <t xml:space="preserve">Verify that the application ensures that combinations of related data items are reasonable according to the pre-defined rules.</t>
  </si>
  <si>
    <t xml:space="preserve">Not Started</t>
  </si>
  <si>
    <t xml:space="preserve">04_SecurityDesign.md§4.1</t>
  </si>
  <si>
    <t xml:space="preserve">V2.3</t>
  </si>
  <si>
    <t xml:space="preserve">Business Logic Security</t>
  </si>
  <si>
    <t xml:space="preserve">V2.3.1</t>
  </si>
  <si>
    <t xml:space="preserve">Verify that the application will only process business logic flows for the same user in the expected sequential step order and without skipping steps.</t>
  </si>
  <si>
    <t xml:space="preserve">Strict one-directional state machine: TODO → IN_PROGRESS → DONE. Reversals rejected</t>
  </si>
  <si>
    <t xml:space="preserve">V2.3.2</t>
  </si>
  <si>
    <t xml:space="preserve">Verify that business logic limits are implemented per the application's documentation to avoid business logic flaws being exploited.</t>
  </si>
  <si>
    <t xml:space="preserve">All limits enforced: upload rate (10/hr), file size (25MB), comment (5000 chars), title (255 chars)</t>
  </si>
  <si>
    <t xml:space="preserve">AttachmentService.java, CommentService.java</t>
  </si>
  <si>
    <t xml:space="preserve">V2.3.3</t>
  </si>
  <si>
    <t xml:space="preserve">Verify that transactions are being used at the business logic level such that either a business logic operation succeeds in its entirety or it is rolled back to the previous correct state.</t>
  </si>
  <si>
    <t xml:space="preserve">DB operations fully transactional.</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</si>
  <si>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</si>
  <si>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</si>
  <si>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No finite-quantity resources in this application</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</si>
  <si>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</si>
  <si>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</si>
  <si>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No high-value flows requiring multi-user approval</t>
  </si>
  <si>
    <t xml:space="preserve">V2.4</t>
  </si>
  <si>
    <t xml:space="preserve">Anti-automation</t>
  </si>
  <si>
    <t xml:space="preserve">V2.4.1</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</si>
  <si>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</si>
  <si>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In Progress</t>
  </si>
  <si>
    <t xml:space="preserve">Upload rate limiting implemented (10/hour per user via enforceUploadRateLimit()). Login endpoint has no rate limiting despite being documented in EntryPoints.md and 04_SecurityDesign.md </t>
  </si>
  <si>
    <t xml:space="preserve">AttachmentService.java:enforceUploadRateLimit(), SecurityConfig.java</t>
  </si>
  <si>
    <t xml:space="preserve">V2.4.2</t>
  </si>
  <si>
    <t xml:space="preserve">Verify that business logic flows require realistic human timing, preventing excessively rapid transaction submissions.</t>
  </si>
  <si>
    <t xml:space="preserve">No transaction timing requirements for business flows.</t>
  </si>
  <si>
    <t xml:space="preserve">V3.1</t>
  </si>
  <si>
    <t xml:space="preserve">Web Frontend Security Documentation</t>
  </si>
  <si>
    <t xml:space="preserve">V3.1.1</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</si>
  <si>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</si>
  <si>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API-only backend. No browser frontend.</t>
  </si>
  <si>
    <t xml:space="preserve">V3.2</t>
  </si>
  <si>
    <t xml:space="preserve">Unintended Content Interpretation</t>
  </si>
  <si>
    <t xml:space="preserve">V3.2.1</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</si>
  <si>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</si>
  <si>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API-only. No HTML rendering.</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</si>
  <si>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</si>
  <si>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</si>
  <si>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API-only. No DOM manipulation.</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</si>
  <si>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</si>
  <si>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</si>
  <si>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API-only. No client-side JavaScript.</t>
  </si>
  <si>
    <t xml:space="preserve">V3.3</t>
  </si>
  <si>
    <t xml:space="preserve">Cookie Setup</t>
  </si>
  <si>
    <t xml:space="preserve">V3.3.1</t>
  </si>
  <si>
    <t xml:space="preserve">Verify that cookies have the 'Secure' attribute set, and if the '\__Host-' prefix is not used for the cookie name, the '__Secure-' prefix must be used for the cookie name.</t>
  </si>
  <si>
    <t xml:space="preserve">API-only. No cookies (Bearer tokens in Authorization header).</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</si>
  <si>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</si>
  <si>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</si>
  <si>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No cookies used.</t>
  </si>
  <si>
    <t xml:space="preserve">V3.3.3</t>
  </si>
  <si>
    <t xml:space="preserve">Verify that cookies have the '__Host-' prefix for the cookie name unless they are explicitly designed to be shared with other hosts.</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</si>
  <si>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</si>
  <si>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</si>
  <si>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</si>
  <si>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</si>
  <si>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t>
  </si>
  <si>
    <t xml:space="preserve">Browser Security Mechanism Headers</t>
  </si>
  <si>
    <t xml:space="preserve">V3.4.1</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</si>
  <si>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</si>
  <si>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API-only. HSTS would be configured at reverse proxy/nginx level, not application.</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</si>
  <si>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</si>
  <si>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</si>
  <si>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API-only. CORS not configured in app (would need to be added for SPA frontend).</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</si>
  <si>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</si>
  <si>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</si>
  <si>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API-only. No CSP needed without HTML rendering.</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</si>
  <si>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</si>
  <si>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</si>
  <si>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API-only. No content sniffing risk for JSON responses.</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</si>
  <si>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</si>
  <si>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</si>
  <si>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API-only. No Referrer-Policy needed.</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</si>
  <si>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</si>
  <si>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</si>
  <si>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API-only. No frame-ancestors needed.</t>
  </si>
  <si>
    <t xml:space="preserve">V3.4.7</t>
  </si>
  <si>
    <t xml:space="preserve">Verify that the Content-Security-Policy header field specifies a location to report violations.</t>
  </si>
  <si>
    <t xml:space="preserve">No CSP.</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</si>
  <si>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</si>
  <si>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</si>
  <si>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API-only. No COOP needed.</t>
  </si>
  <si>
    <t xml:space="preserve">V3.5</t>
  </si>
  <si>
    <t xml:space="preserve">Browser Origin Separation</t>
  </si>
  <si>
    <t xml:space="preserve">V3.5.1</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</si>
  <si>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</si>
  <si>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API-only. No CSRF risk for stateless JWT API (no cookies/session).</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</si>
  <si>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</si>
  <si>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</si>
  <si>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No CORS preflight reliance.</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</si>
  <si>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</si>
  <si>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</si>
  <si>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POST/PUT/PATCH/DELETE used appropriately. GET only for reads.</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</si>
  <si>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</si>
  <si>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</si>
  <si>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Single application. No separate hostname separation.</t>
  </si>
  <si>
    <t xml:space="preserve">V3.5.5</t>
  </si>
  <si>
    <t xml:space="preserve">Verify that messages received by the postMessage interface are discarded if the origin of the message is not trusted, or if the syntax of the message is invalid.</t>
  </si>
  <si>
    <t xml:space="preserve">No postMessage usage.</t>
  </si>
  <si>
    <t xml:space="preserve">V3.5.6</t>
  </si>
  <si>
    <t xml:space="preserve">Verify that JSONP functionality is not enabled anywhere across the application to avoid Cross-Site Script Inclusion (XSSI) attacks.</t>
  </si>
  <si>
    <t xml:space="preserve">No JSONP.</t>
  </si>
  <si>
    <t xml:space="preserve">V3.5.7</t>
  </si>
  <si>
    <t xml:space="preserve">Verify that data requiring authorization is not included in script resource responses, like JavaScript files, to prevent Cross-Site Script Inclusion (XSSI) attacks.</t>
  </si>
  <si>
    <t xml:space="preserve">No script resources with auth data.</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</si>
  <si>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</si>
  <si>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</si>
  <si>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No authenticated resources served to browsers.</t>
  </si>
  <si>
    <t xml:space="preserve">V3.6</t>
  </si>
  <si>
    <t xml:space="preserve">External Resource Integrity</t>
  </si>
  <si>
    <t xml:space="preserve">V3.6.1</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</si>
  <si>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</si>
  <si>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No external client-side assets. API-only.</t>
  </si>
  <si>
    <t xml:space="preserve">V3.7</t>
  </si>
  <si>
    <t xml:space="preserve">Other Browser Security Considerations</t>
  </si>
  <si>
    <t xml:space="preserve">V3.7.1</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</si>
  <si>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</si>
  <si>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No client-side technologies.</t>
  </si>
  <si>
    <t xml:space="preserve">V3.7.2</t>
  </si>
  <si>
    <t xml:space="preserve">Verify that the application will only automatically redirect the user to a different hostname or domain (which is not controlled by the application) where the destination appears on an allowlist.</t>
  </si>
  <si>
    <t xml:space="preserve">No redirects in API.</t>
  </si>
  <si>
    <t xml:space="preserve">V3.7.3</t>
  </si>
  <si>
    <t xml:space="preserve">Verify that the application shows a notification when the user is being redirected to a URL outside of the application's control, with an option to cancel the navigation.</t>
  </si>
  <si>
    <t xml:space="preserve">No redirects.</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</si>
  <si>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</si>
  <si>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</si>
  <si>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No HSTS preload (API-only).</t>
  </si>
  <si>
    <t xml:space="preserve">V3.7.5</t>
  </si>
  <si>
    <t xml:space="preserve">Verify that the application behaves as documented (such as warning the user or blocking access) if the browser used to access the application does not support the expected security features.</t>
  </si>
  <si>
    <t xml:space="preserve">No browser feature detection needed.</t>
  </si>
  <si>
    <t xml:space="preserve">V4.1</t>
  </si>
  <si>
    <t xml:space="preserve">Generic Web Service Security</t>
  </si>
  <si>
    <t xml:space="preserve">V4.1.1</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</si>
  <si>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</si>
  <si>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 Spring Boot sets Content-Type: application/json automatically. Jackson uses UTF-8.</t>
  </si>
  <si>
    <t xml:space="preserve">AttachmentController.java:downloadAttachment()</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</si>
  <si>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</si>
  <si>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</si>
  <si>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No HTTPS redirect configured — HTTP allowed in development. Planned for Sprint 2</t>
  </si>
  <si>
    <t xml:space="preserve">SecurityConfig.java, 04_SecurityDesign.md</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</si>
  <si>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</si>
  <si>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</si>
  <si>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No load balancer or intermediary proxy in current deployment</t>
  </si>
  <si>
    <t xml:space="preserve">V4.1.4</t>
  </si>
  <si>
    <t xml:space="preserve">Verify that only HTTP methods that are explicitly supported by the application or its API (including OPTIONS during preflight requests) can be used and that unused methods are blocked.</t>
  </si>
  <si>
    <t xml:space="preserve">Spring Boot enables standard methods by default. No explicit HTTP method allowlist configured restricting to only used methods</t>
  </si>
  <si>
    <t xml:space="preserve">SecurityConfig.java, </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</si>
  <si>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</si>
  <si>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</si>
  <si>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No per-message digital signatures — JWT covers authentication, not per-message signing</t>
  </si>
  <si>
    <t xml:space="preserve">V4.2</t>
  </si>
  <si>
    <t xml:space="preserve">HTTP Message Structure Validation</t>
  </si>
  <si>
    <t xml:space="preserve">V4.2.1</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</si>
  <si>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</si>
  <si>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No load balancer in current deployment scope</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</si>
  <si>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</si>
  <si>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</si>
  <si>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HTTP/2 and HTTP/3 not configured — app runs plain HTTP/1.1 in development</t>
  </si>
  <si>
    <t xml:space="preserve">application.yml</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</si>
  <si>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</si>
  <si>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</si>
  <si>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</si>
  <si>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</si>
  <si>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</si>
  <si>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</si>
  <si>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V4.3</t>
  </si>
  <si>
    <t xml:space="preserve">GraphQL</t>
  </si>
  <si>
    <t xml:space="preserve">V4.3.1</t>
  </si>
  <si>
    <t xml:space="preserve">Verify that a query allowlist, depth limiting, amount limiting, or query cost analysis is used to prevent GraphQL or data layer expression Denial of Service (DoS) as a result of expensive, nested queries.</t>
  </si>
  <si>
    <t xml:space="preserve">No GraphQL used</t>
  </si>
  <si>
    <t xml:space="preserve">V4.3.2</t>
  </si>
  <si>
    <t xml:space="preserve">Verify that GraphQL introspection queries are disabled in the production environment unless the GraphQL API is meant to be used by other parties.</t>
  </si>
  <si>
    <t xml:space="preserve">V4.4</t>
  </si>
  <si>
    <t xml:space="preserve">WebSocket</t>
  </si>
  <si>
    <t xml:space="preserve">V4.4.1</t>
  </si>
  <si>
    <t xml:space="preserve">Verify that WebSocket over TLS (WSS) is used for all WebSocket connections.</t>
  </si>
  <si>
    <t xml:space="preserve">No WebSockets used</t>
  </si>
  <si>
    <t xml:space="preserve">V4.4.2</t>
  </si>
  <si>
    <t xml:space="preserve">Verify that, during the initial HTTP WebSocket handshake, the Origin header field is checked against a list of origins allowed for the application.</t>
  </si>
  <si>
    <t xml:space="preserve">V4.4.3</t>
  </si>
  <si>
    <t xml:space="preserve">Verify that, if the application's standard session management cannot be used, dedicated tokens are being used for this, which comply with the relevant Session Management security requirements.</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</si>
  <si>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</si>
  <si>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</si>
  <si>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V5.1</t>
  </si>
  <si>
    <t xml:space="preserve">File Handling Documentation</t>
  </si>
  <si>
    <t xml:space="preserve">V5.1.1</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</si>
  <si>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</si>
  <si>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Permitted types, extensions and max size documented and enforced. Whitelist: pdf, doc, docx, xls, xlsx, ppt, pptx, jpg, jpeg, png, gif. Max: 25MB</t>
  </si>
  <si>
    <t xml:space="preserve">04_SecurityDesign.md, 01_Requirements.md SR-5/SR-6, AttachmentStorageProperties.java</t>
  </si>
  <si>
    <t xml:space="preserve">V5.2</t>
  </si>
  <si>
    <t xml:space="preserve">File Upload and Content</t>
  </si>
  <si>
    <t xml:space="preserve">V5.2.1</t>
  </si>
  <si>
    <t xml:space="preserve">Verify that the application will only accept files of a size which it can process without causing a loss of performance or a denial of service attack.</t>
  </si>
  <si>
    <t xml:space="preserve">25MB limit enforced at two layers: service (validateFile()) and Spring multipart (application.yml). Exceeding limit returns 413</t>
  </si>
  <si>
    <t xml:space="preserve">AttachmentService.java:validateFile(), application.yml, AttachmentController.java:handleMaxUploadSizeExceeded()</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</si>
  <si>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</si>
  <si>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</si>
  <si>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Extension extracted and validated against allowlist. MIME type verified to match extension. Archives not in whitelist so rejected entirely</t>
  </si>
  <si>
    <t xml:space="preserve">AttachmentService.java:getExtension(), validateFile()</t>
  </si>
  <si>
    <t xml:space="preserve">V5.2.3</t>
  </si>
  <si>
    <t xml:space="preserve">Verify that the application checks compressed files (e.g., zip, gz, docx, odt) against maximum allowed uncompressed size and against maximum number of files before uncompressing the file.</t>
  </si>
  <si>
    <t xml:space="preserve">No archive/zip decompression performed. Archives not in allowed extensions whitelist</t>
  </si>
  <si>
    <t xml:space="preserve">V5.2.4</t>
  </si>
  <si>
    <t xml:space="preserve">Verify that a file size quota and maximum number of files per user are enforced to ensure that a single user cannot fill up the storage with too many files, or excessively large files.</t>
  </si>
  <si>
    <t xml:space="preserve">Upload rate limit enforced (10/hour per user). No total storage quota per user</t>
  </si>
  <si>
    <t xml:space="preserve">AttachmentService.java:enforceUploadRateLimit()</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</si>
  <si>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</si>
  <si>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</si>
  <si>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No compressed file uploads permitted</t>
  </si>
  <si>
    <t xml:space="preserve">V5.2.6</t>
  </si>
  <si>
    <t xml:space="preserve">Verify that the application rejects uploaded images with a pixel size larger than the maximum allowed, to prevent pixel flood attacks.</t>
  </si>
  <si>
    <t xml:space="preserve">No pixel dimension validation on images. Byte size limit only (25MB).</t>
  </si>
  <si>
    <t xml:space="preserve">AttachmentService.java:validateFile()</t>
  </si>
  <si>
    <t xml:space="preserve">V5.3</t>
  </si>
  <si>
    <t xml:space="preserve">File Storage</t>
  </si>
  <si>
    <t xml:space="preserve">V5.3.1</t>
  </si>
  <si>
    <t xml:space="preserve">Verify that files uploaded or generated by untrusted input and stored in a public folder, are not executed as server-side program code when accessed directly with an HTTP request.</t>
  </si>
  <si>
    <t xml:space="preserve">Files served only via authenticated endpoint — no direct URL access. No execution path exists. resolveStoragePath() ensures files stay within storageRoot</t>
  </si>
  <si>
    <t xml:space="preserve">AttachmentService.java:resolveStoragePath(), AttachmentController.java:downloadAttachment()</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</si>
  <si>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</si>
  <si>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</si>
  <si>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Stored filename is always UUID.randomUUID() + extension. Original name stored separately in DB only. getSafeOriginalName() rejects /, \, ..</t>
  </si>
  <si>
    <t xml:space="preserve">AttachmentService.java:store(), getSafeOriginalName()</t>
  </si>
  <si>
    <t xml:space="preserve">V5.3.3</t>
  </si>
  <si>
    <t xml:space="preserve">Verify that server-side file processing, such as file decompression, ignores user-provided path information to prevent vulnerabilities such as zip slip.</t>
  </si>
  <si>
    <t xml:space="preserve">No archive decompression performed</t>
  </si>
  <si>
    <t xml:space="preserve">V5.4</t>
  </si>
  <si>
    <t xml:space="preserve">File Download</t>
  </si>
  <si>
    <t xml:space="preserve">V5.4.1</t>
  </si>
  <si>
    <t xml:space="preserve">Verify that the application validates or ignores user-submitted filenames, including in a JSON, JSONP, or URL parameter and specifies a filename in the Content-Disposition header field in the response.</t>
  </si>
  <si>
    <t xml:space="preserve">User-submitted filename sanitized on upload (getSafeOriginalName() rejects path traversal). Served via Content-Disposition: attachment header, not as executable</t>
  </si>
  <si>
    <t xml:space="preserve">AttachmentController.java:downloadAttachment(), AttachmentService.java:getSafeOriginalName()</t>
  </si>
  <si>
    <t xml:space="preserve">V5.4.2</t>
  </si>
  <si>
    <t xml:space="preserve">Verify that file names served (e.g., in HTTP response header fields or email attachments) are encoded or sanitized (e.g., following RFC 6266) to preserve document structure and prevent injection attacks.</t>
  </si>
  <si>
    <t xml:space="preserve">Spring ContentDisposition.filename() provides basic encoding. </t>
  </si>
  <si>
    <t xml:space="preserve">V5.4.3</t>
  </si>
  <si>
    <t xml:space="preserve">Verify that files obtained from untrusted sources are scanned by antivirus scanners to prevent serving of known malicious content.</t>
  </si>
  <si>
    <t xml:space="preserve">No antivirus scanning. MIME type and extension validation only.</t>
  </si>
  <si>
    <t xml:space="preserve">AttachmentService.java:validateFile(), Deliverables/Phase2/03_Security_Review_Findings.md</t>
  </si>
  <si>
    <t xml:space="preserve">V6.1</t>
  </si>
  <si>
    <t xml:space="preserve">Authentication Documentation</t>
  </si>
  <si>
    <t xml:space="preserve">V6.1.1</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</si>
  <si>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</si>
  <si>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04_SecurityDesign.md and 06_SecurityTesting.md explicitly document rate limiting (5/min per user, 20/hour per IP, 15-min lockout) and account lockout.</t>
  </si>
  <si>
    <t xml:space="preserve">04_SecurityDesign.md, 06_SecurityTesting.md</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</si>
  <si>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</si>
  <si>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</si>
  <si>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No documented list of context-specific words or password restrictions exists in any project file.</t>
  </si>
  <si>
    <t xml:space="preserve">-</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</si>
  <si>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</si>
  <si>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</si>
  <si>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A single JWT Bearer authentication pathway is fully documented in 03_Architecture.md, 05_API_Specifications.md, and implemented consistently in SecurityConfig.java and JwtAuthFilter.java.</t>
  </si>
  <si>
    <t xml:space="preserve">03_Architecture.md, 05_API_Specifications.md</t>
  </si>
  <si>
    <t xml:space="preserve">V6.2</t>
  </si>
  <si>
    <t xml:space="preserve">Password Security</t>
  </si>
  <si>
    <t xml:space="preserve">V6.2.1</t>
  </si>
  <si>
    <t xml:space="preserve">Verify that user set passwords are at least 8 characters in length although a minimum of 15 characters is strongly recommended.</t>
  </si>
  <si>
    <t xml:space="preserve">No password length validation exists in AuthService.register(). 04_SecurityDesign.md specifies a minimum of 12 characters, but this is not enforced in code.</t>
  </si>
  <si>
    <t xml:space="preserve">AuthService.java</t>
  </si>
  <si>
    <t xml:space="preserve">V6.2.2</t>
  </si>
  <si>
    <t xml:space="preserve">Verify that users can change their password.</t>
  </si>
  <si>
    <t xml:space="preserve">No password change endpoint or functionality exists in the API specifications or source code.</t>
  </si>
  <si>
    <t xml:space="preserve">05_API_Specifications.md</t>
  </si>
  <si>
    <t xml:space="preserve">V6.2.3</t>
  </si>
  <si>
    <t xml:space="preserve">Verify that password change functionality requires the user's current and new password.</t>
  </si>
  <si>
    <t xml:space="preserve">Password change functionality is not implemented.</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</si>
  <si>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</si>
  <si>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</si>
  <si>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No common/breached password checking (e.g., against a top-3000 list) is implemented.</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</si>
  <si>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</si>
  <si>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</si>
  <si>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04_SecurityDesign.md explicitly mandates composition rules (uppercase, lowercase, digits, special chars), which violates this requirement. The code does not enforce them, but the documented policy is non-compliant.</t>
  </si>
  <si>
    <t xml:space="preserve">V6.2.6</t>
  </si>
  <si>
    <t xml:space="preserve">Verify that password input fields use type=password to mask the entry. Applications may allow the user to temporarily view the entire masked password, or the last typed character of the password.</t>
  </si>
  <si>
    <t xml:space="preserve">Frontend implementation was not provided in the uploaded project files.</t>
  </si>
  <si>
    <t xml:space="preserve">V6.2.7</t>
  </si>
  <si>
    <t xml:space="preserve">Verify that "paste" functionality, browser password helpers, and external password managers are permitted.</t>
  </si>
  <si>
    <t xml:space="preserve">V6.2.8</t>
  </si>
  <si>
    <t xml:space="preserve">Verify that the application verifies the user's password exactly as received from the user, without any modifications such as truncation or case transformation.</t>
  </si>
  <si>
    <t xml:space="preserve">AuthService.login() passes the submitted password directly to passwordEncoder.matches() without truncation, case transformation, or other modification.</t>
  </si>
  <si>
    <t xml:space="preserve">V6.2.9</t>
  </si>
  <si>
    <t xml:space="preserve">Verify that passwords of at least 64 characters are permitted.</t>
  </si>
  <si>
    <t xml:space="preserve">No maximum password length is enforced in the code. BCryptPasswordEncoder supports passwords up to 72 bytes, so 64-character passwords are permitted.</t>
  </si>
  <si>
    <t xml:space="preserve">V6.2.10</t>
  </si>
  <si>
    <t xml:space="preserve">Verify that a user's password stays valid until it is discovered to be compromised or the user rotates it. The application must not require periodic credential rotation.</t>
  </si>
  <si>
    <t xml:space="preserve">No password expiration or periodic rotation policy is enforced in the application.</t>
  </si>
  <si>
    <t xml:space="preserve">V6.2.11</t>
  </si>
  <si>
    <t xml:space="preserve">Verify that the documented list of context specific words is used to prevent easy to guess passwords being created.</t>
  </si>
  <si>
    <t xml:space="preserve">No context-specific word list or dictionary check exists.</t>
  </si>
  <si>
    <t xml:space="preserve">V6.2.12</t>
  </si>
  <si>
    <t xml:space="preserve">Verify that passwords submitted during account registration or password changes are checked against a set of breached passwords.</t>
  </si>
  <si>
    <t xml:space="preserve">No breached password detection (e.g., HaveIBeenPwned API or local hash database) is implemented.</t>
  </si>
  <si>
    <t xml:space="preserve">V6.3</t>
  </si>
  <si>
    <t xml:space="preserve">General Authentication Security</t>
  </si>
  <si>
    <t xml:space="preserve">V6.3.1</t>
  </si>
  <si>
    <t xml:space="preserve">Verify that controls to prevent attacks such as credential stuffing and password brute force are implemented according to the application's security documentation.</t>
  </si>
  <si>
    <t xml:space="preserve">Rate limiting and lockout are documented but no implementation exists in AuthController.java, SecurityConfig.java, or any Spring Security filter/interceptor.</t>
  </si>
  <si>
    <t xml:space="preserve">SecurityConfig.java, AuthController.java</t>
  </si>
  <si>
    <t xml:space="preserve">V6.3.2</t>
  </si>
  <si>
    <t xml:space="preserve">Verify that default user accounts (e.g., "root", "admin", or "sa") are not present in the application or are disabled.</t>
  </si>
  <si>
    <t xml:space="preserve">DataBootstrap.java creates hardcoded default accounts (admin@example.com, manager@example.com, user@example.com) with weak passwords on every non-test startup. They are active and never disabled.</t>
  </si>
  <si>
    <t xml:space="preserve">DataBootstrap.java</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</si>
  <si>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</si>
  <si>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</si>
  <si>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Only single-factor JWT authentication exists. No MFA or combination of single-factor mechanisms is implemented.</t>
  </si>
  <si>
    <t xml:space="preserve">V6.3.4</t>
  </si>
  <si>
    <t xml:space="preserve">Verify that, if the application includes multiple authentication pathways, there are no undocumented pathways and that security controls and authentication strength are enforced consistently.</t>
  </si>
  <si>
    <t xml:space="preserve">Only one authentication pathway (JWT Bearer) exists. It is consistently enforced across all endpoints in SecurityConfig.java.</t>
  </si>
  <si>
    <t xml:space="preserve">SecurityConfig.java</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</si>
  <si>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</si>
  <si>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</si>
  <si>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No notification system (email, SMS, or in-app) for suspicious login attempts exists.</t>
  </si>
  <si>
    <t xml:space="preserve">V6.3.6</t>
  </si>
  <si>
    <t xml:space="preserve">Verify that email is not used as either a single-factor or multi-factor authentication mechanism.</t>
  </si>
  <si>
    <t xml:space="preserve">Email is used only as a username/identifier, not as an authentication factor (no email OTP or magic links).</t>
  </si>
  <si>
    <t xml:space="preserve">V6.3.7</t>
  </si>
  <si>
    <t xml:space="preserve">Verify that users are notified after updates to authentication details, such as credential resets or modification of the username or email address.</t>
  </si>
  <si>
    <t xml:space="preserve">No notification system is implemented for credential or profile updates.</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</si>
  <si>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</si>
  <si>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</si>
  <si>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AuthService.login() returns identical error messages, but a timing side-channel exists: findByEmail() fails immediately for missing users, while valid users trigger a bcrypt comparison, creating measurable latency differences.</t>
  </si>
  <si>
    <t xml:space="preserve">V6.4</t>
  </si>
  <si>
    <t xml:space="preserve">Authentication Factor Lifecycle and Recovery</t>
  </si>
  <si>
    <t xml:space="preserve">V6.4.1</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</si>
  <si>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</si>
  <si>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DataBootstrap.java seeds hardcoded weak passwords (password123) for default accounts. They do not expire and users are not forced to change them.</t>
  </si>
  <si>
    <t xml:space="preserve">V6.4.2</t>
  </si>
  <si>
    <t xml:space="preserve">Verify that password hints or knowledge-based authentication (so-called "secret questions") are not present.</t>
  </si>
  <si>
    <t xml:space="preserve">No password hints or knowledge-based authentication functionality exists in the codebase or documentation.</t>
  </si>
  <si>
    <t xml:space="preserve">V6.4.3</t>
  </si>
  <si>
    <t xml:space="preserve">Verify that a secure process for resetting a forgotten password is implemented, that does not bypass any enabled multi-factor authentication mechanisms.</t>
  </si>
  <si>
    <t xml:space="preserve">No "forgot password" or password reset endpoint exists in the API or code.</t>
  </si>
  <si>
    <t xml:space="preserve">V6.4.4</t>
  </si>
  <si>
    <t xml:space="preserve">Verify that if a multi-factor authentication factor is lost, evidence of identity proofing is performed at the same level as during enrollment.</t>
  </si>
  <si>
    <t xml:space="preserve">No MFA is implemented; </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</si>
  <si>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</si>
  <si>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</si>
  <si>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No user-managed expiring authentication factors (e.g., hardware tokens, certificates) are implemented.</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</si>
  <si>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</si>
  <si>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</si>
  <si>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No password reset functionality exists for admins or users.</t>
  </si>
  <si>
    <t xml:space="preserve">V6.5</t>
  </si>
  <si>
    <t xml:space="preserve">General Multi-factor authentication requirements</t>
  </si>
  <si>
    <t xml:space="preserve">V6.5.1</t>
  </si>
  <si>
    <t xml:space="preserve">Verify that lookup secrets, out-of-band authentication requests or codes, and time-based one-time passwords (TOTPs) are only successfully usable once.</t>
  </si>
  <si>
    <t xml:space="preserve">No lookup secrets, OOB codes, or TOTP are implemented.</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</si>
  <si>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</si>
  <si>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</si>
  <si>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No lookup secrets are implemented.</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</si>
  <si>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</si>
  <si>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</si>
  <si>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No lookup secrets, OOB codes, or TOTP seeds are implemented.</t>
  </si>
  <si>
    <t xml:space="preserve">V6.5.4</t>
  </si>
  <si>
    <t xml:space="preserve">Verify that lookup secrets and out-of-band authentication codes have a minimum of 20 bits of entropy (typically 4 random alphanumeric characters or 6 random digits is sufficient).</t>
  </si>
  <si>
    <t xml:space="preserve">No lookup secrets or OOB codes are implemented.</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</si>
  <si>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</si>
  <si>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</si>
  <si>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No OOB authentication or TOTP is implemented.</t>
  </si>
  <si>
    <t xml:space="preserve">V6.5.6</t>
  </si>
  <si>
    <t xml:space="preserve">Verify that any authentication factor (including physical devices) can be revoked in case of theft or other loss.</t>
  </si>
  <si>
    <t xml:space="preserve">No MFA authentication factors are implemented.</t>
  </si>
  <si>
    <t xml:space="preserve">V6.5.7</t>
  </si>
  <si>
    <t xml:space="preserve">Verify that biometric authentication mechanisms are only used as secondary factors together with either something you have or something you know.</t>
  </si>
  <si>
    <t xml:space="preserve">No biometric authentication is implemented.</t>
  </si>
  <si>
    <t xml:space="preserve">V6.5.8</t>
  </si>
  <si>
    <t xml:space="preserve">Verify that time-based one-time passwords (TOTPs) are checked based on a time source from a trusted service and not from an untrusted or client provided time.</t>
  </si>
  <si>
    <t xml:space="preserve">No TOTP is implemented.</t>
  </si>
  <si>
    <t xml:space="preserve">V6.6</t>
  </si>
  <si>
    <t xml:space="preserve">Out-of-Band authentication mechanisms</t>
  </si>
  <si>
    <t xml:space="preserve">V6.6.1</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</si>
  <si>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</si>
  <si>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No PSTN, SMS, or phone-based OTP is implemented.</t>
  </si>
  <si>
    <t xml:space="preserve">V6.6.2</t>
  </si>
  <si>
    <t xml:space="preserve">Verify that out-of-band authentication requests, codes, or tokens are bound to the original authentication request for which they were generated and are not usable for a previous or subsequent one.</t>
  </si>
  <si>
    <t xml:space="preserve">No out-of-band authentication is implemented.</t>
  </si>
  <si>
    <t xml:space="preserve">V6.6.3</t>
  </si>
  <si>
    <t xml:space="preserve">Verify that a code based out-of-band authentication mechanism is protected against brute force attacks by using rate limiting. Consider also using a code with at least 64 bits of entropy.</t>
  </si>
  <si>
    <t xml:space="preserve">V6.6.4</t>
  </si>
  <si>
    <t xml:space="preserve">Verify that, where push notifications are used for multi-factor authentication, rate limiting is used to prevent push bombing attacks. Number matching may also mitigate this risk.</t>
  </si>
  <si>
    <t xml:space="preserve">No push notification MFA is implemented.</t>
  </si>
  <si>
    <t xml:space="preserve">V6.7</t>
  </si>
  <si>
    <t xml:space="preserve">Cryptographic authentication mechanism</t>
  </si>
  <si>
    <t xml:space="preserve">V6.7.1</t>
  </si>
  <si>
    <t xml:space="preserve">Verify that the certificates used to verify cryptographic authentication assertions are stored in a way protects them from modification.</t>
  </si>
  <si>
    <t xml:space="preserve">The application uses HS256 symmetric key signing (JwtUtil.java), not certificate-based asymmetric cryptography.</t>
  </si>
  <si>
    <t xml:space="preserve">V6.7.2</t>
  </si>
  <si>
    <t xml:space="preserve">Verify that the challenge nonce is at least 64 bits in length, and statistically unique or unique over the lifetime of the cryptographic device.</t>
  </si>
  <si>
    <t xml:space="preserve">No challenge-response or nonce-based authentication mechanism is implemented.</t>
  </si>
  <si>
    <t xml:space="preserve">V6.8</t>
  </si>
  <si>
    <t xml:space="preserve">Authentication with an Identity Provider</t>
  </si>
  <si>
    <t xml:space="preserve">V6.8.1</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</si>
  <si>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</si>
  <si>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Only a local identity provider is supported. No multiple IdPs exist that could enable spoofing.</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</si>
  <si>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</si>
  <si>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</si>
  <si>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JWT signatures are validated on every request in JwtAuthFilter.java via JwtUtil.validate(). Unsigned or tampered tokens are rejected with 401 Unauthorized.</t>
  </si>
  <si>
    <t xml:space="preserve">JwtAuthFilter.java, JwtUtil.java</t>
  </si>
  <si>
    <t xml:space="preserve">V6.8.3</t>
  </si>
  <si>
    <t xml:space="preserve">Verify that SAML assertions are uniquely processed and used only once within the validity period to prevent replay attacks.</t>
  </si>
  <si>
    <t xml:space="preserve">No SAML integration is implemented.</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</si>
  <si>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</si>
  <si>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</si>
  <si>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No external IdP integration is implemented.</t>
  </si>
  <si>
    <t xml:space="preserve">V7.1</t>
  </si>
  <si>
    <t xml:space="preserve">Session Management Documentation</t>
  </si>
  <si>
    <t xml:space="preserve">V7.1.1</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</si>
  <si>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</si>
  <si>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</si>
  <si>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</si>
  <si>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</si>
  <si>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</si>
  <si>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V7.2</t>
  </si>
  <si>
    <t xml:space="preserve">Fundamental Session Management Security</t>
  </si>
  <si>
    <t xml:space="preserve">V7.2.1</t>
  </si>
  <si>
    <t xml:space="preserve">Verify that the application performs all session token verification using a trusted, backend service.</t>
  </si>
  <si>
    <t xml:space="preserve">V7.2.2</t>
  </si>
  <si>
    <t xml:space="preserve">Verify that the application uses either self-contained or reference tokens that are dynamically generated for session management, i.e. not using static API secrets and keys.</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</si>
  <si>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</si>
  <si>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</si>
  <si>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V7.2.4</t>
  </si>
  <si>
    <t xml:space="preserve">Verify that the application generates a new session token on user authentication, including re-authentication, and terminates the current session token.</t>
  </si>
  <si>
    <t xml:space="preserve">V7.3</t>
  </si>
  <si>
    <t xml:space="preserve">Session Timeout</t>
  </si>
  <si>
    <t xml:space="preserve">V7.3.1</t>
  </si>
  <si>
    <t xml:space="preserve">Verify that there is an inactivity timeout such that re-authentication is enforced according to risk analysis and documented security decisions.</t>
  </si>
  <si>
    <t xml:space="preserve">V7.3.2</t>
  </si>
  <si>
    <t xml:space="preserve">Verify that there is an absolute maximum session lifetime such that re-authentication is enforced according to risk analysis and documented security decisions.</t>
  </si>
  <si>
    <t xml:space="preserve">V7.4</t>
  </si>
  <si>
    <t xml:space="preserve">Session Termination</t>
  </si>
  <si>
    <t xml:space="preserve">V7.4.1</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</si>
  <si>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</si>
  <si>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V7.4.2</t>
  </si>
  <si>
    <t xml:space="preserve">Verify that the application terminates all active sessions when a user account is disabled or deleted (such as an employee leaving the company).</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</si>
  <si>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</si>
  <si>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</si>
  <si>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V7.4.4</t>
  </si>
  <si>
    <t xml:space="preserve">Verify that all pages that require authentication have easy and visible access to logout functionality.</t>
  </si>
  <si>
    <t xml:space="preserve">V7.4.5</t>
  </si>
  <si>
    <t xml:space="preserve">Verify that application administrators are able to terminate active sessions for an individual user or for all users.</t>
  </si>
  <si>
    <t xml:space="preserve">V7.5</t>
  </si>
  <si>
    <t xml:space="preserve">Defenses Against Session Abuse</t>
  </si>
  <si>
    <t xml:space="preserve">V7.5.1</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</si>
  <si>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</si>
  <si>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V7.5.2</t>
  </si>
  <si>
    <t xml:space="preserve">Verify that users are able to view and (having authenticated again with at least one factor) terminate any or all currently active sessions.</t>
  </si>
  <si>
    <t xml:space="preserve">V7.5.3</t>
  </si>
  <si>
    <t xml:space="preserve">Verify that the application requires further authentication with at least one factor or secondary verification before performing highly sensitive transactions or operations.</t>
  </si>
  <si>
    <t xml:space="preserve">V7.6</t>
  </si>
  <si>
    <t xml:space="preserve">Federated Re-authentication</t>
  </si>
  <si>
    <t xml:space="preserve">V7.6.1</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</si>
  <si>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</si>
  <si>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V7.6.2</t>
  </si>
  <si>
    <t xml:space="preserve">Verify that creation of a session requires either the user's consent or an explicit action, preventing the creation of new application sessions without user interaction.</t>
  </si>
  <si>
    <t xml:space="preserve">V8.1</t>
  </si>
  <si>
    <t xml:space="preserve">Authorization Documentation</t>
  </si>
  <si>
    <t xml:space="preserve">V8.1.1</t>
  </si>
  <si>
    <t xml:space="preserve">Verify that authorization documentation defines rules for restricting function-level and data-specific access based on consumer permissions and resource attributes.</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</si>
  <si>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</si>
  <si>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</si>
  <si>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</si>
  <si>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</si>
  <si>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</si>
  <si>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</si>
  <si>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t>
  </si>
  <si>
    <t xml:space="preserve">General Authorization Design</t>
  </si>
  <si>
    <t xml:space="preserve">V8.2.1</t>
  </si>
  <si>
    <t xml:space="preserve">Verify that the application ensures that function-level access is restricted to consumers with explicit permissions.</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</si>
  <si>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</si>
  <si>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</si>
  <si>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V8.2.3</t>
  </si>
  <si>
    <t xml:space="preserve">Verify that the application ensures that field-level access is restricted to consumers with explicit permissions to specific fields to mitigate broken object property level authorization (BOPLA).</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</si>
  <si>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</si>
  <si>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</si>
  <si>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t>
  </si>
  <si>
    <t xml:space="preserve">Operation Level Authorization</t>
  </si>
  <si>
    <t xml:space="preserve">V8.3.1</t>
  </si>
  <si>
    <t xml:space="preserve">Verify that the application enforces authorization rules at a trusted service layer and doesn't rely on controls that an untrusted consumer could manipulate, such as client-side JavaScript.</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</si>
  <si>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</si>
  <si>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</si>
  <si>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</si>
  <si>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</si>
  <si>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V8.4</t>
  </si>
  <si>
    <t xml:space="preserve">Other Authorization Considerations</t>
  </si>
  <si>
    <t xml:space="preserve">V8.4.1</t>
  </si>
  <si>
    <t xml:space="preserve">Verify that multi-tenant applications use cross-tenant controls to ensure consumer operations will never affect tenants with which they do not have permissions to interact.</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</si>
  <si>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</si>
  <si>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</si>
  <si>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V9.1</t>
  </si>
  <si>
    <t xml:space="preserve">Token source and integrity</t>
  </si>
  <si>
    <t xml:space="preserve">V9.1.1</t>
  </si>
  <si>
    <t xml:space="preserve">Verify that self-contained tokens are validated using their digital signature or MAC to protect against tampering before accepting the token's contents.</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</si>
  <si>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</si>
  <si>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</si>
  <si>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</si>
  <si>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</si>
  <si>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V9.2</t>
  </si>
  <si>
    <t xml:space="preserve">Token content</t>
  </si>
  <si>
    <t xml:space="preserve">V9.2.1</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</si>
  <si>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</si>
  <si>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</si>
  <si>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</si>
  <si>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</si>
  <si>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</si>
  <si>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</si>
  <si>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</si>
  <si>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V10.1</t>
  </si>
  <si>
    <t xml:space="preserve">Generic OAuth and OIDC Security</t>
  </si>
  <si>
    <t xml:space="preserve">V10.1.1</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</si>
  <si>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</si>
  <si>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</si>
  <si>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</si>
  <si>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V10.2</t>
  </si>
  <si>
    <t xml:space="preserve">OAuth Client</t>
  </si>
  <si>
    <t xml:space="preserve">V10.2.1</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</si>
  <si>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</si>
  <si>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</si>
  <si>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</si>
  <si>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V10.2.3</t>
  </si>
  <si>
    <t xml:space="preserve">Verify that the OAuth client only requests the required scopes (or other authorization parameters) in requests to the authorization server.</t>
  </si>
  <si>
    <t xml:space="preserve">V10.3</t>
  </si>
  <si>
    <t xml:space="preserve">OAuth Resource Server</t>
  </si>
  <si>
    <t xml:space="preserve">V10.3.1</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</si>
  <si>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</si>
  <si>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</si>
  <si>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</si>
  <si>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</si>
  <si>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</si>
  <si>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</si>
  <si>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</si>
  <si>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</si>
  <si>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</si>
  <si>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t>
  </si>
  <si>
    <t xml:space="preserve">OAuth Authorization Server</t>
  </si>
  <si>
    <t xml:space="preserve">V10.4.1</t>
  </si>
  <si>
    <t xml:space="preserve">Verify that the authorization server validates redirect URIs based on a client-specific allowlist of pre-registered URIs using exact string comparison.</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</si>
  <si>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</si>
  <si>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</si>
  <si>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V10.4.3</t>
  </si>
  <si>
    <t xml:space="preserve">Verify that the authorization code is short-lived. The maximum lifetime can be up to 10 minutes for L1 and L2 applications and up to 1 minute for L3 applications.</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</si>
  <si>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</si>
  <si>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</si>
  <si>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</si>
  <si>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</si>
  <si>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</si>
  <si>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</si>
  <si>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</si>
  <si>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</si>
  <si>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V10.4.8</t>
  </si>
  <si>
    <t xml:space="preserve">Verify that refresh tokens have an absolute expiration, including if sliding refresh token expiration is applied.</t>
  </si>
  <si>
    <t xml:space="preserve">V10.4.9</t>
  </si>
  <si>
    <t xml:space="preserve">Verify that refresh tokens and reference access tokens can be revoked by an authorized user using the authorization server user interface, to mitigate the risk of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</si>
  <si>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</si>
  <si>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</si>
  <si>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V10.4.11</t>
  </si>
  <si>
    <t xml:space="preserve">Verify that the authorization server configuration only assigns the required scopes to the OAuth client.</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</si>
  <si>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</si>
  <si>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</si>
  <si>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</si>
  <si>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</si>
  <si>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</si>
  <si>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</si>
  <si>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</si>
  <si>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</si>
  <si>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</si>
  <si>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</si>
  <si>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t>
  </si>
  <si>
    <t xml:space="preserve">OIDC Client</t>
  </si>
  <si>
    <t xml:space="preserve">V10.5.1</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</si>
  <si>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</si>
  <si>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V10.5.2</t>
  </si>
  <si>
    <t xml:space="preserve">Verify that the client uniquely identifies the user from ID Token claims, usually the 'sub' claim, which cannot be reassigned to other users (for the scope of an identity provider).</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</si>
  <si>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</si>
  <si>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</si>
  <si>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V10.5.4</t>
  </si>
  <si>
    <t xml:space="preserve">Verify that the client validates that the ID Token is intended to be used for that client (audience) by checking that the 'aud' claim from the token is equal to the 'client_id' value for the client.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</si>
  <si>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</si>
  <si>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</si>
  <si>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V10.6</t>
  </si>
  <si>
    <t xml:space="preserve">OpenID Provider</t>
  </si>
  <si>
    <t xml:space="preserve">V10.6.1</t>
  </si>
  <si>
    <t xml:space="preserve">Verify that the OpenID Provider only allows values 'code', 'ciba', 'id_token', or 'id_token code' for response mode. Note that 'code' is preferred over 'id_token code' (the OIDC Hybrid flow), and 'token' (any Implicit flow) must not be used.</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</si>
  <si>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</si>
  <si>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</si>
  <si>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V10.7</t>
  </si>
  <si>
    <t xml:space="preserve">Consent Management</t>
  </si>
  <si>
    <t xml:space="preserve">V10.7.1</t>
  </si>
  <si>
    <t xml:space="preserve">Verify that the authorization server ensures that the user consents to each authorization request. If the identity of the client cannot be assured, the authorization server must always explicitly prompt the user for consent.</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</si>
  <si>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</si>
  <si>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</si>
  <si>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V10.7.3</t>
  </si>
  <si>
    <t xml:space="preserve">Verify that the user can review, modify, and revoke consents which the user has granted through the authorization server.</t>
  </si>
  <si>
    <t xml:space="preserve">V11.1</t>
  </si>
  <si>
    <t xml:space="preserve">Cryptographic Inventory and Documentation</t>
  </si>
  <si>
    <t xml:space="preserve">V11.1.1</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</si>
  <si>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</si>
  <si>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</si>
  <si>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</si>
  <si>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</si>
  <si>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</si>
  <si>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</si>
  <si>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</si>
  <si>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t>
  </si>
  <si>
    <t xml:space="preserve">Secure Cryptography Implementation</t>
  </si>
  <si>
    <t xml:space="preserve">V11.2.1</t>
  </si>
  <si>
    <t xml:space="preserve">Verify that industry-validated implementations (including libraries and hardware-accelerated implementations) are used for cryptographic operations.</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</si>
  <si>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</si>
  <si>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</si>
  <si>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</si>
  <si>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</si>
  <si>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V11.2.4</t>
  </si>
  <si>
    <t xml:space="preserve">Verify that all cryptographic operations are constant-time, with no 'short-circuit' operations in comparisons, calculations, or returns, to avoid leaking information.</t>
  </si>
  <si>
    <t xml:space="preserve">V11.2.5</t>
  </si>
  <si>
    <t xml:space="preserve">Verify that all cryptographic modules fail securely, and errors are handled in a way that does not enable vulnerabilities, such as Padding Oracle attacks.</t>
  </si>
  <si>
    <t xml:space="preserve">V11.3</t>
  </si>
  <si>
    <t xml:space="preserve">Encryption Algorithms</t>
  </si>
  <si>
    <t xml:space="preserve">V11.3.1</t>
  </si>
  <si>
    <t xml:space="preserve">Verify that insecure block modes (e.g., ECB) and weak padding schemes (e.g., PKCS#1 v1.5) are not used.</t>
  </si>
  <si>
    <t xml:space="preserve">V11.3.2</t>
  </si>
  <si>
    <t xml:space="preserve">Verify that only approved ciphers and modes such as AES with GCM are used.</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</si>
  <si>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</si>
  <si>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</si>
  <si>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</si>
  <si>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</si>
  <si>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V11.3.5</t>
  </si>
  <si>
    <t xml:space="preserve">Verify that any combination of an encryption algorithm and a MAC algorithm is operating in encrypt-then-MAC mode.</t>
  </si>
  <si>
    <t xml:space="preserve">V11.4</t>
  </si>
  <si>
    <t xml:space="preserve">Hashing and Hash-based Functions</t>
  </si>
  <si>
    <t xml:space="preserve">V11.4.1</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</si>
  <si>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</si>
  <si>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</si>
  <si>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</si>
  <si>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</si>
  <si>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</si>
  <si>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</si>
  <si>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</si>
  <si>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V11.5</t>
  </si>
  <si>
    <t xml:space="preserve">Random Values</t>
  </si>
  <si>
    <t xml:space="preserve">V11.5.1</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</si>
  <si>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</si>
  <si>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V11.5.2</t>
  </si>
  <si>
    <t xml:space="preserve">Verify that the random number generation mechanism in use is designed to work securely, even under heavy demand.</t>
  </si>
  <si>
    <t xml:space="preserve">V11.6</t>
  </si>
  <si>
    <t xml:space="preserve">Public Key Cryptography</t>
  </si>
  <si>
    <t xml:space="preserve">V11.6.1</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</si>
  <si>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</si>
  <si>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</si>
  <si>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</si>
  <si>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t>
  </si>
  <si>
    <t xml:space="preserve">In-Use Data Cryptography</t>
  </si>
  <si>
    <t xml:space="preserve">V11.7.1</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</si>
  <si>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</si>
  <si>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</si>
  <si>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</si>
  <si>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V12.1</t>
  </si>
  <si>
    <t xml:space="preserve">General TLS Security Guidance</t>
  </si>
  <si>
    <t xml:space="preserve">V12.1.1</t>
  </si>
  <si>
    <t xml:space="preserve">Verify that only the latest recommended versions of the TLS protocol are enabled, such as TLS 1.2 and TLS 1.3. The latest version of the TLS protocol must be the preferred option.</t>
  </si>
  <si>
    <t xml:space="preserve">V12.1.2</t>
  </si>
  <si>
    <t xml:space="preserve">Verify that only recommended cipher suites are enabled, with the strongest cipher suites set as preferred. L3 applications must only support cipher suites which provide forward secrecy.</t>
  </si>
  <si>
    <t xml:space="preserve">V12.1.3</t>
  </si>
  <si>
    <t xml:space="preserve">Verify that the application validates that mTLS client certificates are trusted before using the certificate identity for authentication or authorization.</t>
  </si>
  <si>
    <t xml:space="preserve">V12.1.4</t>
  </si>
  <si>
    <t xml:space="preserve">Verify that proper certification revocation, such as Online Certificate Status Protocol (OCSP) Stapling, is enabled and configured.</t>
  </si>
  <si>
    <t xml:space="preserve">V12.1.5</t>
  </si>
  <si>
    <t xml:space="preserve">Verify that Encrypted Client Hello (ECH) is enabled in the application's TLS settings to prevent exposure of sensitive metadata, such as the Server Name Indication (SNI), during TLS handshake processes.</t>
  </si>
  <si>
    <t xml:space="preserve">V12.2</t>
  </si>
  <si>
    <t xml:space="preserve">HTTPS Communication with External Facing Services</t>
  </si>
  <si>
    <t xml:space="preserve">V12.2.1</t>
  </si>
  <si>
    <t xml:space="preserve">Verify that TLS is used for all connectivity between a client and external facing, HTTP-based services, and does not fall back to insecure or unencrypted communications.</t>
  </si>
  <si>
    <t xml:space="preserve">V12.2.2</t>
  </si>
  <si>
    <t xml:space="preserve">Verify that external facing services use publicly trusted TLS certificates.</t>
  </si>
  <si>
    <t xml:space="preserve">V12.3</t>
  </si>
  <si>
    <t xml:space="preserve">General Service to Service Communication Security</t>
  </si>
  <si>
    <t xml:space="preserve">V12.3.1</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</si>
  <si>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</si>
  <si>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V12.3.2</t>
  </si>
  <si>
    <t xml:space="preserve">Verify that TLS clients validate certificates received before communicating with a TLS server.</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</si>
  <si>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</si>
  <si>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</si>
  <si>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</si>
  <si>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</si>
  <si>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</si>
  <si>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</si>
  <si>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V13.1</t>
  </si>
  <si>
    <t xml:space="preserve">Configuration Documentation</t>
  </si>
  <si>
    <t xml:space="preserve">V13.1.1</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</si>
  <si>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</si>
  <si>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</si>
  <si>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</si>
  <si>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</si>
  <si>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</si>
  <si>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</si>
  <si>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</si>
  <si>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t>
  </si>
  <si>
    <t xml:space="preserve">Backend Communication Configuration</t>
  </si>
  <si>
    <t xml:space="preserve">V13.2.1</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</si>
  <si>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</si>
  <si>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</si>
  <si>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</si>
  <si>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V13.2.3</t>
  </si>
  <si>
    <t xml:space="preserve">Verify that if a credential has to be used for service authentication, the credential being used by the consumer is not a default credential (e.g., root/root or admin/admin).</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</si>
  <si>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</si>
  <si>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</si>
  <si>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V13.2.5</t>
  </si>
  <si>
    <t xml:space="preserve">Verify that the web or application server is configured with an allowlist of resources or systems to which the server can send requests or load data or files from.</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</si>
  <si>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</si>
  <si>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</si>
  <si>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V13.3</t>
  </si>
  <si>
    <t xml:space="preserve">Secret Management</t>
  </si>
  <si>
    <t xml:space="preserve">V13.3.1</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</si>
  <si>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</si>
  <si>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V13.3.2</t>
  </si>
  <si>
    <t xml:space="preserve">Verify that access to secret assets adheres to the principle of least privilege.</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</si>
  <si>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</si>
  <si>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</si>
  <si>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</si>
  <si>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</si>
  <si>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V13.4</t>
  </si>
  <si>
    <t xml:space="preserve">Unintended Information Leakage</t>
  </si>
  <si>
    <t xml:space="preserve">V13.4.1</t>
  </si>
  <si>
    <t xml:space="preserve">Verify that the application is deployed either without any source control metadata, including the .git or .svn folders, or in a way that these folders are inaccessible both externally and to the application itself.</t>
  </si>
  <si>
    <t xml:space="preserve">V13.4.2</t>
  </si>
  <si>
    <t xml:space="preserve">Verify that debug modes are disabled for all components in production environments to prevent exposure of debugging features and information leakage.</t>
  </si>
  <si>
    <t xml:space="preserve">V13.4.3</t>
  </si>
  <si>
    <t xml:space="preserve">Verify that web servers do not expose directory listings to clients unless explicitly intended.</t>
  </si>
  <si>
    <t xml:space="preserve">V13.4.4</t>
  </si>
  <si>
    <t xml:space="preserve">Verify that using the HTTP TRACE method is not supported in production environments, to avoid potential information leakage.</t>
  </si>
  <si>
    <t xml:space="preserve">V13.4.5</t>
  </si>
  <si>
    <t xml:space="preserve">Verify that documentation (such as for internal APIs) and monitoring endpoints are not exposed unless explicitly intended.</t>
  </si>
  <si>
    <t xml:space="preserve">V13.4.6</t>
  </si>
  <si>
    <t xml:space="preserve">Verify that the application does not expose detailed version information of backend components.</t>
  </si>
  <si>
    <t xml:space="preserve">V13.4.7</t>
  </si>
  <si>
    <t xml:space="preserve">Verify that the web tier is configured to only serve files with specific file extensions to prevent unintentional information, configuration, and source code leakage.</t>
  </si>
  <si>
    <t xml:space="preserve">V14.1</t>
  </si>
  <si>
    <t xml:space="preserve">Data Protection Documentation</t>
  </si>
  <si>
    <t xml:space="preserve">V14.1.1</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</si>
  <si>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</si>
  <si>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</si>
  <si>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</si>
  <si>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V14.2</t>
  </si>
  <si>
    <t xml:space="preserve">General Data Protection</t>
  </si>
  <si>
    <t xml:space="preserve">V14.2.1</t>
  </si>
  <si>
    <t xml:space="preserve">Verify that sensitive data is only sent to the server in the HTTP message body or header fields, and that the URL and query string do not contain sensitive information, such as an API key or session token.</t>
  </si>
  <si>
    <t xml:space="preserve">V14.2.2</t>
  </si>
  <si>
    <t xml:space="preserve">Verify that the application prevents sensitive data from being cached in server components, such as load balancers and application caches, or ensures that the data is securely purged after use.</t>
  </si>
  <si>
    <t xml:space="preserve">V14.2.3</t>
  </si>
  <si>
    <t xml:space="preserve">Verify that defined sensitive data is not sent to untrusted parties (e.g., user trackers) to prevent unwanted collection of data outside of the application's control.</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</si>
  <si>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</si>
  <si>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</si>
  <si>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</si>
  <si>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</si>
  <si>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</si>
  <si>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</si>
  <si>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</si>
  <si>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</si>
  <si>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V14.2.8</t>
  </si>
  <si>
    <t xml:space="preserve">Verify that sensitive information is removed from the metadata of user-submitted files unless storage is consented to by the user.</t>
  </si>
  <si>
    <t xml:space="preserve">V14.3</t>
  </si>
  <si>
    <t xml:space="preserve">Client-side Data Protection</t>
  </si>
  <si>
    <t xml:space="preserve">V14.3.1</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</si>
  <si>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</si>
  <si>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V14.3.2</t>
  </si>
  <si>
    <t xml:space="preserve">Verify that the application sets sufficient anti-caching HTTP response header fields (i.e., Cache-Control: no-store) so that sensitive data is not cached in browsers.</t>
  </si>
  <si>
    <t xml:space="preserve">V14.3.3</t>
  </si>
  <si>
    <t xml:space="preserve">Verify that data stored in browser storage (such as localStorage, sessionStorage, IndexedDB, or cookies) does not contain sensitive data, with the exception of session tokens.</t>
  </si>
  <si>
    <t xml:space="preserve">V15.1</t>
  </si>
  <si>
    <t xml:space="preserve">Secure Coding and Architecture Documentation</t>
  </si>
  <si>
    <t xml:space="preserve">V15.1.1</t>
  </si>
  <si>
    <t xml:space="preserve">Verify that application documentation defines risk based remediation time frames for 3rd party component versions with vulnerabilities and for updating libraries in general, to minimize the risk from these components.</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</si>
  <si>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</si>
  <si>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</si>
  <si>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</si>
  <si>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</si>
  <si>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V15.1.4</t>
  </si>
  <si>
    <t xml:space="preserve">Verify that application documentation highlights third-party libraries which are considered to be "risky components".</t>
  </si>
  <si>
    <t xml:space="preserve">V15.1.5</t>
  </si>
  <si>
    <t xml:space="preserve">Verify that application documentation highlights parts of the application where "dangerous functionality" is being used.</t>
  </si>
  <si>
    <t xml:space="preserve">V15.2</t>
  </si>
  <si>
    <t xml:space="preserve">Security Architecture and Dependencies</t>
  </si>
  <si>
    <t xml:space="preserve">V15.2.1</t>
  </si>
  <si>
    <t xml:space="preserve">Verify that the application only contains components which have not breached the documented update and remediation time frames.</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</si>
  <si>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</si>
  <si>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</si>
  <si>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</si>
  <si>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</si>
  <si>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</si>
  <si>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</si>
  <si>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</si>
  <si>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</si>
  <si>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V15.3</t>
  </si>
  <si>
    <t xml:space="preserve">Defensive Coding</t>
  </si>
  <si>
    <t xml:space="preserve">V15.3.1</t>
  </si>
  <si>
    <t xml:space="preserve">Verify that the application only returns the required subset of fields from a data object. For example, it should not return an entire data object, as some individual fields should not be accessible to users.</t>
  </si>
  <si>
    <t xml:space="preserve">V15.3.2</t>
  </si>
  <si>
    <t xml:space="preserve">Verify that where the application backend makes calls to external URLs, it is configured to not follow redirects unless it is intended functionality.</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</si>
  <si>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</si>
  <si>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</si>
  <si>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</si>
  <si>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</si>
  <si>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</si>
  <si>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</si>
  <si>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V15.3.6</t>
  </si>
  <si>
    <t xml:space="preserve">Verify that JavaScript code is written in a way that prevents prototype pollution, for example, by using Set() or Map() instead of object literals.</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</si>
  <si>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</si>
  <si>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</si>
  <si>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V15.4</t>
  </si>
  <si>
    <t xml:space="preserve">Safe Concurrency</t>
  </si>
  <si>
    <t xml:space="preserve">V15.4.1</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</si>
  <si>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</si>
  <si>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</si>
  <si>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</si>
  <si>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</si>
  <si>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</si>
  <si>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</si>
  <si>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</si>
  <si>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V16.1</t>
  </si>
  <si>
    <t xml:space="preserve">Security Logging Documentation</t>
  </si>
  <si>
    <t xml:space="preserve">V16.1.1</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</si>
  <si>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</si>
  <si>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V16.2</t>
  </si>
  <si>
    <t xml:space="preserve">General Logging</t>
  </si>
  <si>
    <t xml:space="preserve">V16.2.1</t>
  </si>
  <si>
    <t xml:space="preserve">Verify that each log entry includes necessary metadata (such as when, where, who, what) that would allow for a detailed investigation of the timeline when an event happens.</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</si>
  <si>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</si>
  <si>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</si>
  <si>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V16.2.3</t>
  </si>
  <si>
    <t xml:space="preserve">Verify that the application only stores or broadcasts logs to the files and services that are documented in the log inventory.</t>
  </si>
  <si>
    <t xml:space="preserve">V16.2.4</t>
  </si>
  <si>
    <t xml:space="preserve">Verify that logs can be read and correlated by the log processor that is in use, preferably by using a common logging format.</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</si>
  <si>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</si>
  <si>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</si>
  <si>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V16.3</t>
  </si>
  <si>
    <t xml:space="preserve">Security Events</t>
  </si>
  <si>
    <t xml:space="preserve">V16.3.1</t>
  </si>
  <si>
    <t xml:space="preserve">Verify that all authentication operations are logged, including successful and unsuccessful attempts. Additional metadata, such as the type of authentication or factors used, should also be collected.</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</si>
  <si>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</si>
  <si>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</si>
  <si>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</si>
  <si>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</si>
  <si>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V16.3.4</t>
  </si>
  <si>
    <t xml:space="preserve">Verify that the application logs unexpected errors and security control failures such as backend TLS failures.</t>
  </si>
  <si>
    <t xml:space="preserve">V16.4</t>
  </si>
  <si>
    <t xml:space="preserve">Log Protection</t>
  </si>
  <si>
    <t xml:space="preserve">V16.4.1</t>
  </si>
  <si>
    <t xml:space="preserve">Verify that all logging components appropriately encode data to prevent log injection.</t>
  </si>
  <si>
    <t xml:space="preserve">V16.4.2</t>
  </si>
  <si>
    <t xml:space="preserve">Verify that logs are protected from unauthorized access and cannot be modified.</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</si>
  <si>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</si>
  <si>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</si>
  <si>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V16.5</t>
  </si>
  <si>
    <t xml:space="preserve">Error Handling</t>
  </si>
  <si>
    <t xml:space="preserve">V16.5.1</t>
  </si>
  <si>
    <t xml:space="preserve">Verify that a generic message is returned to the consumer when an unexpected or security-sensitive error occurs, ensuring no exposure of sensitive internal system data such as stack traces, queries, secret keys, and tokens.</t>
  </si>
  <si>
    <t xml:space="preserve">V16.5.2</t>
  </si>
  <si>
    <t xml:space="preserve">Verify that the application continues to operate securely when external resource access fails, for example, by using patterns such as circuit breakers or graceful degradation.</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</si>
  <si>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</si>
  <si>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</si>
  <si>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</si>
  <si>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</si>
  <si>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V17.1</t>
  </si>
  <si>
    <t xml:space="preserve">TURN Server</t>
  </si>
  <si>
    <t xml:space="preserve">V17.1.1</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</si>
  <si>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</si>
  <si>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V17.1.2</t>
  </si>
  <si>
    <t xml:space="preserve">Verify that the Traversal Using Relays around NAT (TURN) service is not susceptible to resource exhaustion when legitimate users attempt to open a large number of ports on the TURN server.</t>
  </si>
  <si>
    <t xml:space="preserve">V17.2</t>
  </si>
  <si>
    <t xml:space="preserve">Media</t>
  </si>
  <si>
    <t xml:space="preserve">V17.2.1</t>
  </si>
  <si>
    <t xml:space="preserve">Verify that the key for the Datagram Transport Layer Security (DTLS) certificate is managed and protected based on the documented policy for management of cryptographic keys.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</si>
  <si>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</si>
  <si>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</si>
  <si>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</si>
  <si>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</si>
  <si>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V17.2.4</t>
  </si>
  <si>
    <t xml:space="preserve">Verify that the media server is able to continue processing incoming media traffic when encountering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</si>
  <si>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</si>
  <si>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</si>
  <si>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</si>
  <si>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</si>
  <si>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</si>
  <si>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</si>
  <si>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</si>
  <si>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</si>
  <si>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t>
  </si>
  <si>
    <t xml:space="preserve">Signaling</t>
  </si>
  <si>
    <t xml:space="preserve">V17.3.1</t>
  </si>
  <si>
    <t xml:space="preserve">Verify that the signaling server is able to continue processing legitimate incoming signaling messages during a flood attack. This should be achieved by implementing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</si>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</sst>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numFmts count="2">
    <numFmt numFmtId="164" formatCode="General"/>
    <numFmt numFmtId="165" formatCode="0%"/>
  </numFmts>
  <fonts count="15">
    <font>
      <sz val="11"/>
      <color rgb="FF000000"/>
      <name val="Calibri"/>
      <family val="2"/>
      <charset val="1"/>
    </font>
    <font>
      <sz val="10"/>
      <name val="Arial"/>
      <family val="0"/>
    </font>
    <font>
      <sz val="10"/>
      <name val="Arial"/>
      <family val="0"/>
    </font>
    <font>
      <sz val="10"/>
      <name val="Arial"/>
      <family val="0"/>
    </font>
    <font>
      <b val="true"/>
      <sz val="16"/>
      <color rgb="FFFFFFFF"/>
      <name val="Cambria"/>
      <family val="0"/>
      <charset val="1"/>
    </font>
    <font>
      <i val="true"/>
      <sz val="10"/>
      <color rgb="FF595959"/>
      <name val="Cambria"/>
      <family val="0"/>
      <charset val="1"/>
    </font>
    <font>
      <b val="true"/>
      <sz val="10"/>
      <name val="Cambria"/>
      <family val="0"/>
      <charset val="1"/>
    </font>
    <font>
      <b val="true"/>
      <sz val="9"/>
      <name val="Cambria"/>
      <family val="0"/>
      <charset val="1"/>
    </font>
    <font>
      <b val="true"/>
      <sz val="9"/>
      <color rgb="FFFFFFFF"/>
      <name val="Cambria"/>
      <family val="0"/>
      <charset val="1"/>
    </font>
    <font>
      <sz val="10"/>
      <name val="Cambria"/>
      <family val="0"/>
      <charset val="1"/>
    </font>
    <font>
      <b val="true"/>
      <sz val="11"/>
      <color rgb="FFFFFFFF"/>
      <name val="Cambria"/>
      <family val="0"/>
      <charset val="1"/>
    </font>
    <font>
      <b val="true"/>
      <sz val="10"/>
      <color rgb="FFFFFFFF"/>
      <name val="Cambria"/>
      <family val="0"/>
      <charset val="1"/>
    </font>
    <font>
      <sz val="10"/>
      <name val="Arial"/>
      <family val="2"/>
    </font>
    <font>
      <b val="true"/>
      <sz val="10"/>
      <color rgb="FF1F3864"/>
      <name val="Cambria"/>
      <family val="0"/>
      <charset val="1"/>
    </font>
    <font>
      <sz val="11"/>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left" vertical="center" textRotation="0" wrapText="false" indent="0" shrinkToFit="false"/>
      <protection locked="true" hidden="false"/>
    </xf>
    <xf numFmtId="164" fontId="9" fillId="3" borderId="1" xfId="0" applyFont="true" applyBorder="true" applyAlignment="true" applyProtection="true">
      <alignment horizontal="center" vertical="center" textRotation="0" wrapText="false" indent="0" shrinkToFit="false"/>
      <protection locked="true" hidden="false"/>
    </xf>
    <xf numFmtId="165" fontId="9" fillId="3" borderId="1" xfId="0" applyFont="true" applyBorder="tru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center" vertical="center" textRotation="0" wrapText="false" indent="0" shrinkToFit="false"/>
      <protection locked="true" hidden="false"/>
    </xf>
    <xf numFmtId="165" fontId="11" fillId="2" borderId="1" xfId="0" applyFont="true" applyBorder="true" applyAlignment="true" applyProtection="true">
      <alignment horizontal="center" vertical="center" textRotation="0" wrapText="false" indent="0" shrinkToFit="false"/>
      <protection locked="true" hidden="false"/>
    </xf>
    <xf numFmtId="164" fontId="11" fillId="2" borderId="1" xfId="0" applyFont="true" applyBorder="true" applyAlignment="true" applyProtection="true">
      <alignment horizontal="center" vertical="center" textRotation="0" wrapText="true" indent="0" shrinkToFit="false"/>
      <protection locked="true" hidden="false"/>
    </xf>
    <xf numFmtId="164" fontId="13" fillId="5" borderId="1" xfId="0" applyFont="true" applyBorder="true" applyAlignment="true" applyProtection="true">
      <alignment horizontal="left"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top" textRotation="0" wrapText="false" indent="0" shrinkToFit="false"/>
      <protection locked="true" hidden="false"/>
    </xf>
    <xf numFmtId="164" fontId="0" fillId="3" borderId="1" xfId="0" applyFont="true" applyBorder="true" applyAlignment="true" applyProtection="true">
      <alignment horizontal="left" vertical="top" textRotation="0" wrapText="true" indent="0" shrinkToFit="false"/>
      <protection locked="true" hidden="false"/>
    </xf>
    <xf numFmtId="164" fontId="6" fillId="6" borderId="1" xfId="0" applyFont="true" applyBorder="true" applyAlignment="true" applyProtection="true">
      <alignment horizontal="center" vertical="top" textRotation="0" wrapText="false" indent="0" shrinkToFit="false"/>
      <protection locked="true" hidden="false"/>
    </xf>
    <xf numFmtId="164" fontId="0" fillId="7" borderId="1" xfId="0" applyFont="true" applyBorder="true" applyAlignment="true" applyProtection="true">
      <alignment horizontal="center" vertical="top" textRotation="0" wrapText="false" indent="0" shrinkToFit="false"/>
      <protection locked="true" hidden="false"/>
    </xf>
    <xf numFmtId="164" fontId="0" fillId="3" borderId="1"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center" vertical="top" textRotation="0" wrapText="false" indent="0" shrinkToFit="false"/>
      <protection locked="true" hidden="false"/>
    </xf>
    <xf numFmtId="164" fontId="0" fillId="4" borderId="1" xfId="0" applyFont="true" applyBorder="true" applyAlignment="true" applyProtection="true">
      <alignment horizontal="left" vertical="top" textRotation="0" wrapText="true" indent="0" shrinkToFit="false"/>
      <protection locked="true" hidden="false"/>
    </xf>
    <xf numFmtId="164" fontId="0" fillId="4" borderId="1" xfId="0" applyFont="true" applyBorder="true" applyAlignment="true" applyProtection="true">
      <alignment horizontal="center" vertical="center" textRotation="0" wrapText="true" indent="0" shrinkToFit="false"/>
      <protection locked="true" hidden="false"/>
    </xf>
    <xf numFmtId="164" fontId="13" fillId="5" borderId="1" xfId="0" applyFont="true" applyBorder="true" applyAlignment="true" applyProtection="true">
      <alignment horizontal="center" vertical="center" textRotation="0" wrapText="false" indent="0" shrinkToFit="false"/>
      <protection locked="true" hidden="false"/>
    </xf>
    <xf numFmtId="164" fontId="6" fillId="8" borderId="1" xfId="0" applyFont="true" applyBorder="true" applyAlignment="true" applyProtection="true">
      <alignment horizontal="center" vertical="top" textRotation="0" wrapText="false" indent="0" shrinkToFit="false"/>
      <protection locked="true" hidden="false"/>
    </xf>
    <xf numFmtId="164" fontId="6" fillId="9" borderId="1" xfId="0" applyFont="true" applyBorder="tru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true">
      <alignment horizontal="center" vertical="top" textRotation="0" wrapText="true" indent="0" shrinkToFit="false"/>
      <protection locked="true" hidden="false"/>
    </xf>
    <xf numFmtId="164" fontId="13" fillId="5" borderId="1" xfId="0" applyFont="true" applyBorder="true" applyAlignment="true" applyProtection="true">
      <alignment horizontal="center" vertical="top" textRotation="0" wrapText="false" indent="0" shrinkToFit="false"/>
      <protection locked="true" hidden="false"/>
    </xf>
    <xf numFmtId="164" fontId="0" fillId="3" borderId="1" xfId="0" applyFont="true" applyBorder="true" applyAlignment="true" applyProtection="true">
      <alignment horizontal="right" vertical="top" textRotation="0" wrapText="true" indent="0" shrinkToFit="false"/>
      <protection locked="true" hidden="false"/>
    </xf>
    <xf numFmtId="164" fontId="14" fillId="3"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dxf/>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Summary!$E$5</c:f>
              <c:strCache>
                <c:ptCount val="1"/>
                <c:pt idx="0">
                  <c:v>L1
%</c:v>
                </c:pt>
              </c:strCache>
            </c:strRef>
          </c:tx>
          <c:spPr>
            <a:solidFill>
              <a:srgbClr val="C6EFCE"/>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0.625</c:v>
                </c:pt>
                <c:pt idx="1">
                  <c:v>1</c:v>
                </c:pt>
                <c:pt idx="2">
                  <c:v>0.125</c:v>
                </c:pt>
                <c:pt idx="3">
                  <c:v>0.5</c:v>
                </c:pt>
                <c:pt idx="4">
                  <c:v>1</c:v>
                </c:pt>
                <c:pt idx="5">
                  <c:v>0.230769230769231</c:v>
                </c:pt>
                <c:pt idx="6">
                  <c:v>0</c:v>
                </c:pt>
                <c:pt idx="7">
                  <c:v>0</c:v>
                </c:pt>
                <c:pt idx="8">
                  <c:v>0</c:v>
                </c:pt>
                <c:pt idx="9">
                  <c:v>0</c:v>
                </c:pt>
                <c:pt idx="10">
                  <c:v>0</c:v>
                </c:pt>
                <c:pt idx="11">
                  <c:v>0</c:v>
                </c:pt>
                <c:pt idx="12">
                  <c:v>0</c:v>
                </c:pt>
                <c:pt idx="13">
                  <c:v>0</c:v>
                </c:pt>
                <c:pt idx="14">
                  <c:v>0</c:v>
                </c:pt>
              </c:numCache>
            </c:numRef>
          </c:val>
        </c:ser>
        <c:ser>
          <c:idx val="1"/>
          <c:order val="1"/>
          <c:tx>
            <c:strRef>
              <c:f>Summary!$H$5</c:f>
              <c:strCache>
                <c:ptCount val="1"/>
                <c:pt idx="0">
                  <c:v>L2
%</c:v>
                </c:pt>
              </c:strCache>
            </c:strRef>
          </c:tx>
          <c:spPr>
            <a:solidFill>
              <a:srgbClr val="FFEB9C"/>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0.315789473684211</c:v>
                </c:pt>
                <c:pt idx="1">
                  <c:v>0.571428571428571</c:v>
                </c:pt>
                <c:pt idx="2">
                  <c:v>0</c:v>
                </c:pt>
                <c:pt idx="3">
                  <c:v>0</c:v>
                </c:pt>
                <c:pt idx="4">
                  <c:v>0.4</c:v>
                </c:pt>
                <c:pt idx="5">
                  <c:v>0.272727272727273</c:v>
                </c:pt>
                <c:pt idx="6">
                  <c:v>0</c:v>
                </c:pt>
                <c:pt idx="7">
                  <c:v>0</c:v>
                </c:pt>
                <c:pt idx="8">
                  <c:v>0</c:v>
                </c:pt>
                <c:pt idx="9">
                  <c:v>0</c:v>
                </c:pt>
                <c:pt idx="10">
                  <c:v>0</c:v>
                </c:pt>
                <c:pt idx="11">
                  <c:v>0</c:v>
                </c:pt>
                <c:pt idx="12">
                  <c:v>0</c:v>
                </c:pt>
                <c:pt idx="13">
                  <c:v>0</c:v>
                </c:pt>
                <c:pt idx="14">
                  <c:v>0</c:v>
                </c:pt>
                <c:pt idx="15">
                  <c:v>0</c:v>
                </c:pt>
                <c:pt idx="16">
                  <c:v>0</c:v>
                </c:pt>
              </c:numCache>
            </c:numRef>
          </c:val>
        </c:ser>
        <c:ser>
          <c:idx val="2"/>
          <c:order val="2"/>
          <c:tx>
            <c:strRef>
              <c:f>Summary!$K$5</c:f>
              <c:strCache>
                <c:ptCount val="1"/>
                <c:pt idx="0">
                  <c:v>L3
%</c:v>
                </c:pt>
              </c:strCache>
            </c:strRef>
          </c:tx>
          <c:spPr>
            <a:solidFill>
              <a:srgbClr val="FABF8F"/>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0.666666666666667</c:v>
                </c:pt>
                <c:pt idx="1">
                  <c:v>0</c:v>
                </c:pt>
                <c:pt idx="2">
                  <c:v>0</c:v>
                </c:pt>
                <c:pt idx="3">
                  <c:v>0</c:v>
                </c:pt>
                <c:pt idx="4">
                  <c:v>0</c:v>
                </c:pt>
                <c:pt idx="5">
                  <c:v>0.0833333333333333</c:v>
                </c:pt>
                <c:pt idx="6">
                  <c:v>0</c:v>
                </c:pt>
                <c:pt idx="7">
                  <c:v>0</c:v>
                </c:pt>
                <c:pt idx="9">
                  <c:v>0</c:v>
                </c:pt>
                <c:pt idx="10">
                  <c:v>0</c:v>
                </c:pt>
                <c:pt idx="11">
                  <c:v>0</c:v>
                </c:pt>
                <c:pt idx="12">
                  <c:v>0</c:v>
                </c:pt>
                <c:pt idx="13">
                  <c:v>0</c:v>
                </c:pt>
                <c:pt idx="14">
                  <c:v>0</c:v>
                </c:pt>
                <c:pt idx="15">
                  <c:v>0</c:v>
                </c:pt>
              </c:numCache>
            </c:numRef>
          </c:val>
        </c:ser>
        <c:ser>
          <c:idx val="3"/>
          <c:order val="3"/>
          <c:tx>
            <c:strRef>
              <c:f>Summary!$M$5</c:f>
              <c:strCache>
                <c:ptCount val="1"/>
                <c:pt idx="0">
                  <c:v>Overall
%</c:v>
                </c:pt>
              </c:strCache>
            </c:strRef>
          </c:tx>
          <c:spPr>
            <a:solidFill>
              <a:srgbClr val="579D1C"/>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0.433333333333333</c:v>
                </c:pt>
                <c:pt idx="1">
                  <c:v>0.615384615384615</c:v>
                </c:pt>
                <c:pt idx="2">
                  <c:v>0.032258064516129</c:v>
                </c:pt>
                <c:pt idx="3">
                  <c:v>0.0625</c:v>
                </c:pt>
                <c:pt idx="4">
                  <c:v>0.461538461538462</c:v>
                </c:pt>
                <c:pt idx="5">
                  <c:v>0.212765957446809</c:v>
                </c:pt>
                <c:pt idx="6">
                  <c:v>0</c:v>
                </c:pt>
                <c:pt idx="7">
                  <c:v>0</c:v>
                </c:pt>
                <c:pt idx="8">
                  <c:v>0</c:v>
                </c:pt>
                <c:pt idx="9">
                  <c:v>0</c:v>
                </c:pt>
                <c:pt idx="10">
                  <c:v>0</c:v>
                </c:pt>
                <c:pt idx="11">
                  <c:v>0</c:v>
                </c:pt>
                <c:pt idx="12">
                  <c:v>0</c:v>
                </c:pt>
                <c:pt idx="13">
                  <c:v>0</c:v>
                </c:pt>
                <c:pt idx="14">
                  <c:v>0</c:v>
                </c:pt>
                <c:pt idx="15">
                  <c:v>0</c:v>
                </c:pt>
                <c:pt idx="16">
                  <c:v>0</c:v>
                </c:pt>
              </c:numCache>
            </c:numRef>
          </c:val>
        </c:ser>
        <c:gapWidth val="100"/>
        <c:overlap val="0"/>
        <c:axId val="94904967"/>
        <c:axId val="65018146"/>
      </c:barChart>
      <c:catAx>
        <c:axId val="94904967"/>
        <c:scaling>
          <c:orientation val="minMax"/>
        </c:scaling>
        <c:delete val="0"/>
        <c:axPos val="b"/>
        <c:numFmt formatCode="General" sourceLinked="0"/>
        <c:majorTickMark val="out"/>
        <c:minorTickMark val="none"/>
        <c:tickLblPos val="nextTo"/>
        <c:spPr>
          <a:ln w="0">
            <a:solidFill>
              <a:srgbClr val="B3B3B3"/>
            </a:solidFill>
          </a:ln>
        </c:spPr>
        <c:txPr>
          <a:bodyPr/>
          <a:lstStyle/>
          <a:p>
            <a:pPr>
              <a:defRPr sz="1000" b="0" u="none" strike="noStrike">
                <a:uFillTx/>
                <a:latin typeface="Arial"/>
              </a:defRPr>
            </a:pPr>
          </a:p>
        </c:txPr>
        <c:crossAx val="65018146"/>
        <c:crosses val="autoZero"/>
        <c:auto val="1"/>
        <c:lblAlgn val="ctr"/>
        <c:lblOffset val="100"/>
        <c:noMultiLvlLbl val="0"/>
      </c:catAx>
      <c:valAx>
        <c:axId val="65018146"/>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sz="1000" b="0" u="none" strike="noStrike">
                <a:uFillTx/>
                <a:latin typeface="Arial"/>
              </a:defRPr>
            </a:pPr>
          </a:p>
        </c:txPr>
        <c:crossAx val="94904967"/>
        <c:crosses val="autoZero"/>
        <c:crossBetween val="between"/>
      </c:valAx>
      <c:spPr>
        <a:noFill/>
        <a:ln w="0">
          <a:solidFill>
            <a:srgbClr val="B3B3B3"/>
          </a:solidFill>
        </a:ln>
      </c:spPr>
    </c:plotArea>
    <c:legend>
      <c:legendPos val="r"/>
      <c:overlay val="0"/>
      <c:spPr>
        <a:noFill/>
        <a:ln w="0">
          <a:noFill/>
        </a:ln>
      </c:spPr>
      <c:txPr>
        <a:bodyPr/>
        <a:lstStyle/>
        <a:p>
          <a:pPr>
            <a:defRPr sz="1000" b="0" u="none" strike="noStrike">
              <a:uFillTx/>
              <a:latin typeface="Arial"/>
            </a:defRPr>
          </a:pPr>
        </a:p>
      </c:txPr>
    </c:legend>
    <c:plotVisOnly val="1"/>
    <c:dispBlanksAs val="gap"/>
  </c:chart>
  <c:spPr>
    <a:solidFill>
      <a:srgbClr val="FFFFFF"/>
    </a:solidFill>
    <a:ln w="936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38880</xdr:colOff>
      <xdr:row>24</xdr:row>
      <xdr:rowOff>10440</xdr:rowOff>
    </xdr:from>
    <xdr:to>
      <xdr:col>12</xdr:col>
      <xdr:colOff>773280</xdr:colOff>
      <xdr:row>47</xdr:row>
      <xdr:rowOff>56520</xdr:rowOff>
    </xdr:to>
    <xdr:graphicFrame>
      <xdr:nvGraphicFramePr>
        <xdr:cNvPr id="1" name=""/>
        <xdr:cNvGraphicFramePr/>
      </xdr:nvGraphicFramePr>
      <xdr:xfrm>
        <a:off x="38880" y="5903280"/>
        <a:ext cx="11659680" cy="4427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73" zoomScaleNormal="73" zoomScalePageLayoutView="100" workbookViewId="0">
      <selection pane="topLeft" activeCell="L22" activeCellId="0" sqref="L22"/>
    </sheetView>
  </sheetViews>
  <sheetFormatPr defaultColWidth="8.54296875" defaultRowHeight="15" customHeight="false" zeroHeight="false" outlineLevelRow="0" outlineLevelCol="0"/>
  <cols>
    <col collapsed="false" customWidth="true" hidden="false" outlineLevel="0" max="1" min="1" style="1" width="34"/>
    <col collapsed="false" customWidth="true" hidden="false" outlineLevel="0" max="13" min="2" style="1" width="11"/>
  </cols>
  <sheetData>
    <row r="1" customFormat="false" ht="36" hidden="false" customHeight="true" outlineLevel="0" collapsed="false">
      <c r="A1" s="2" t="s">
        <v>0</v>
      </c>
      <c r="B1" s="2"/>
      <c r="C1" s="2"/>
      <c r="D1" s="2"/>
      <c r="E1" s="2"/>
      <c r="F1" s="2"/>
      <c r="G1" s="2"/>
      <c r="H1" s="2"/>
      <c r="I1" s="2"/>
      <c r="J1" s="2"/>
      <c r="K1" s="2"/>
      <c r="L1" s="2"/>
      <c r="M1" s="2"/>
      <c r="N1" s="2"/>
      <c r="O1" s="2"/>
      <c r="P1" s="2"/>
    </row>
    <row r="2" customFormat="false" ht="20" hidden="false" customHeight="true" outlineLevel="0" collapsed="false">
      <c r="A2" s="3"/>
      <c r="B2" s="3"/>
      <c r="C2" s="3"/>
      <c r="D2" s="3"/>
      <c r="E2" s="3"/>
      <c r="F2" s="3"/>
      <c r="G2" s="3"/>
      <c r="H2" s="3"/>
      <c r="I2" s="3"/>
      <c r="J2" s="3"/>
      <c r="K2" s="3"/>
      <c r="L2" s="3"/>
      <c r="M2" s="3"/>
      <c r="N2" s="3"/>
      <c r="O2" s="3"/>
      <c r="P2" s="3"/>
    </row>
    <row r="3" customFormat="false" ht="18" hidden="false" customHeight="true" outlineLevel="0" collapsed="false">
      <c r="A3" s="4"/>
      <c r="B3" s="4"/>
      <c r="C3" s="5"/>
      <c r="E3" s="5"/>
      <c r="G3" s="5"/>
      <c r="I3" s="5"/>
      <c r="K3" s="5"/>
      <c r="M3" s="5"/>
      <c r="O3" s="5"/>
    </row>
    <row r="5" customFormat="false" ht="32" hidden="false" customHeight="true" outlineLevel="0" collapsed="false">
      <c r="A5" s="6" t="s">
        <v>1</v>
      </c>
      <c r="B5" s="6" t="s">
        <v>2</v>
      </c>
      <c r="C5" s="6" t="s">
        <v>3</v>
      </c>
      <c r="D5" s="6" t="s">
        <v>4</v>
      </c>
      <c r="E5" s="6" t="s">
        <v>5</v>
      </c>
      <c r="F5" s="6" t="s">
        <v>6</v>
      </c>
      <c r="G5" s="6" t="s">
        <v>7</v>
      </c>
      <c r="H5" s="6" t="s">
        <v>8</v>
      </c>
      <c r="I5" s="6" t="s">
        <v>9</v>
      </c>
      <c r="J5" s="6" t="s">
        <v>10</v>
      </c>
      <c r="K5" s="6" t="s">
        <v>11</v>
      </c>
      <c r="L5" s="6" t="s">
        <v>12</v>
      </c>
      <c r="M5" s="6" t="s">
        <v>13</v>
      </c>
    </row>
    <row r="6" customFormat="false" ht="18" hidden="false" customHeight="true" outlineLevel="0" collapsed="false">
      <c r="A6" s="7" t="s">
        <v>14</v>
      </c>
      <c r="B6" s="8" t="n">
        <v>30</v>
      </c>
      <c r="C6" s="8" t="n">
        <v>8</v>
      </c>
      <c r="D6" s="8" t="n">
        <f aca="false">COUNTIFS('V1 - Encoding and Sanitization'!$F$2:$F$36,"Compliant",'V1 - Encoding and Sanitization'!$E$2:$E$36,1)</f>
        <v>5</v>
      </c>
      <c r="E6" s="9" t="n">
        <f aca="false">IF(C6=0,"",D6/C6)</f>
        <v>0.625</v>
      </c>
      <c r="F6" s="8" t="n">
        <v>19</v>
      </c>
      <c r="G6" s="8" t="n">
        <f aca="false">COUNTIFS('V1 - Encoding and Sanitization'!$F$2:$F$36,"Compliant",'V1 - Encoding and Sanitization'!$E$2:$E$36,2)</f>
        <v>6</v>
      </c>
      <c r="H6" s="9" t="n">
        <f aca="false">IF(F6=0,"",G6/F6)</f>
        <v>0.315789473684211</v>
      </c>
      <c r="I6" s="8" t="n">
        <v>3</v>
      </c>
      <c r="J6" s="8" t="n">
        <f aca="false">COUNTIFS('V1 - Encoding and Sanitization'!$F$2:$F$36,"Compliant",'V1 - Encoding and Sanitization'!$E$2:$E$36,3)</f>
        <v>2</v>
      </c>
      <c r="K6" s="9" t="n">
        <f aca="false">IF(I6=0,"",J6/I6)</f>
        <v>0.666666666666667</v>
      </c>
      <c r="L6" s="8" t="n">
        <f aca="false">COUNTIF('V1 - Encoding and Sanitization'!$F$2:$F$36,"Compliant")</f>
        <v>13</v>
      </c>
      <c r="M6" s="9" t="n">
        <f aca="false">IF(B6=0,"",L6/B6)</f>
        <v>0.433333333333333</v>
      </c>
    </row>
    <row r="7" customFormat="false" ht="18" hidden="false" customHeight="true" outlineLevel="0" collapsed="false">
      <c r="A7" s="10" t="s">
        <v>15</v>
      </c>
      <c r="B7" s="11" t="n">
        <v>13</v>
      </c>
      <c r="C7" s="11" t="n">
        <v>4</v>
      </c>
      <c r="D7" s="11" t="n">
        <f aca="false">COUNTIFS('V2 - Validation and Business Lo'!$F$2:$F$18,"Compliant",'V2 - Validation and Business Lo'!$E$2:$E$18,1)</f>
        <v>4</v>
      </c>
      <c r="E7" s="12" t="n">
        <f aca="false">IF(C7=0,"",D7/C7)</f>
        <v>1</v>
      </c>
      <c r="F7" s="11" t="n">
        <v>7</v>
      </c>
      <c r="G7" s="11" t="n">
        <f aca="false">COUNTIFS('V2 - Validation and Business Lo'!$F$2:$F$18,"Compliant",'V2 - Validation and Business Lo'!$E$2:$E$18,2)</f>
        <v>4</v>
      </c>
      <c r="H7" s="12" t="n">
        <f aca="false">IF(F7=0,"",G7/F7)</f>
        <v>0.571428571428571</v>
      </c>
      <c r="I7" s="11" t="n">
        <v>2</v>
      </c>
      <c r="J7" s="11" t="n">
        <f aca="false">COUNTIFS('V2 - Validation and Business Lo'!$F$2:$F$18,"Compliant",'V2 - Validation and Business Lo'!$E$2:$E$18,3)</f>
        <v>0</v>
      </c>
      <c r="K7" s="12" t="n">
        <f aca="false">IF(I7=0,"",J7/I7)</f>
        <v>0</v>
      </c>
      <c r="L7" s="11" t="n">
        <f aca="false">COUNTIF('V2 - Validation and Business Lo'!$F$2:$F$18,"Compliant")</f>
        <v>8</v>
      </c>
      <c r="M7" s="12" t="n">
        <f aca="false">IF(B7=0,"",L7/B7)</f>
        <v>0.615384615384615</v>
      </c>
    </row>
    <row r="8" customFormat="false" ht="18" hidden="false" customHeight="true" outlineLevel="0" collapsed="false">
      <c r="A8" s="7" t="s">
        <v>16</v>
      </c>
      <c r="B8" s="8" t="n">
        <v>31</v>
      </c>
      <c r="C8" s="8" t="n">
        <v>8</v>
      </c>
      <c r="D8" s="8" t="n">
        <f aca="false">COUNTIFS('V3 - Web Frontend Security'!$F$2:$F$39,"Compliant",'V3 - Web Frontend Security'!$E$2:$E$39,1)</f>
        <v>1</v>
      </c>
      <c r="E8" s="9" t="n">
        <f aca="false">IF(C8=0,"",D8/C8)</f>
        <v>0.125</v>
      </c>
      <c r="F8" s="8" t="n">
        <v>11</v>
      </c>
      <c r="G8" s="8" t="n">
        <f aca="false">COUNTIFS('V3 - Web Frontend Security'!$F$2:$F$39,"Compliant",'V3 - Web Frontend Security'!$E$2:$E$39,2)</f>
        <v>0</v>
      </c>
      <c r="H8" s="9" t="n">
        <f aca="false">IF(F8=0,"",G8/F8)</f>
        <v>0</v>
      </c>
      <c r="I8" s="8" t="n">
        <v>12</v>
      </c>
      <c r="J8" s="8" t="n">
        <f aca="false">COUNTIFS('V3 - Web Frontend Security'!$F$2:$F$39,"Compliant",'V3 - Web Frontend Security'!$E$2:$E$39,3)</f>
        <v>0</v>
      </c>
      <c r="K8" s="9" t="n">
        <f aca="false">IF(I8=0,"",J8/I8)</f>
        <v>0</v>
      </c>
      <c r="L8" s="8" t="n">
        <f aca="false">COUNTIF('V3 - Web Frontend Security'!$F$2:$F$39,"Compliant")</f>
        <v>1</v>
      </c>
      <c r="M8" s="9" t="n">
        <f aca="false">IF(B8=0,"",L8/B8)</f>
        <v>0.032258064516129</v>
      </c>
    </row>
    <row r="9" customFormat="false" ht="18" hidden="false" customHeight="true" outlineLevel="0" collapsed="false">
      <c r="A9" s="10" t="s">
        <v>17</v>
      </c>
      <c r="B9" s="11" t="n">
        <v>16</v>
      </c>
      <c r="C9" s="11" t="n">
        <v>2</v>
      </c>
      <c r="D9" s="11" t="n">
        <f aca="false">COUNTIFS('V4 - API and Web Service'!$F$2:$F$21,"Compliant",'V4 - API and Web Service'!$E$2:$E$21,1)</f>
        <v>1</v>
      </c>
      <c r="E9" s="12" t="n">
        <f aca="false">IF(C9=0,"",D9/C9)</f>
        <v>0.5</v>
      </c>
      <c r="F9" s="11" t="n">
        <v>8</v>
      </c>
      <c r="G9" s="11" t="n">
        <f aca="false">COUNTIFS('V4 - API and Web Service'!$F$2:$F$21,"Compliant",'V4 - API and Web Service'!$E$2:$E$21,2)</f>
        <v>0</v>
      </c>
      <c r="H9" s="12" t="n">
        <f aca="false">IF(F9=0,"",G9/F9)</f>
        <v>0</v>
      </c>
      <c r="I9" s="11" t="n">
        <v>6</v>
      </c>
      <c r="J9" s="11" t="n">
        <f aca="false">COUNTIFS('V4 - API and Web Service'!$F$2:$F$21,"Compliant",'V4 - API and Web Service'!$E$2:$E$21,3)</f>
        <v>0</v>
      </c>
      <c r="K9" s="12" t="n">
        <f aca="false">IF(I9=0,"",J9/I9)</f>
        <v>0</v>
      </c>
      <c r="L9" s="11" t="n">
        <f aca="false">COUNTIF('V4 - API and Web Service'!$F$2:$F$21,"Compliant")</f>
        <v>1</v>
      </c>
      <c r="M9" s="12" t="n">
        <f aca="false">IF(B9=0,"",L9/B9)</f>
        <v>0.0625</v>
      </c>
    </row>
    <row r="10" customFormat="false" ht="18" hidden="false" customHeight="true" outlineLevel="0" collapsed="false">
      <c r="A10" s="7" t="s">
        <v>18</v>
      </c>
      <c r="B10" s="8" t="n">
        <v>13</v>
      </c>
      <c r="C10" s="8" t="n">
        <v>4</v>
      </c>
      <c r="D10" s="8" t="n">
        <f aca="false">COUNTIFS('V5 - File Handling'!$F$2:$F$18,"Compliant",'V5 - File Handling'!$E$2:$E$18,1)</f>
        <v>4</v>
      </c>
      <c r="E10" s="9" t="n">
        <f aca="false">IF(C10=0,"",D10/C10)</f>
        <v>1</v>
      </c>
      <c r="F10" s="8" t="n">
        <v>5</v>
      </c>
      <c r="G10" s="8" t="n">
        <f aca="false">COUNTIFS('V5 - File Handling'!$F$2:$F$18,"Compliant",'V5 - File Handling'!$E$2:$E$18,2)</f>
        <v>2</v>
      </c>
      <c r="H10" s="9" t="n">
        <f aca="false">IF(F10=0,"",G10/F10)</f>
        <v>0.4</v>
      </c>
      <c r="I10" s="8" t="n">
        <v>4</v>
      </c>
      <c r="J10" s="8" t="n">
        <f aca="false">COUNTIFS('V5 - File Handling'!$F$2:$F$18,"Compliant",'V5 - File Handling'!$E$2:$E$18,3)</f>
        <v>0</v>
      </c>
      <c r="K10" s="9" t="n">
        <f aca="false">IF(I10=0,"",J10/I10)</f>
        <v>0</v>
      </c>
      <c r="L10" s="8" t="n">
        <f aca="false">COUNTIF('V5 - File Handling'!$F$2:$F$18,"Compliant")</f>
        <v>6</v>
      </c>
      <c r="M10" s="9" t="n">
        <f aca="false">IF(B10=0,"",L10/B10)</f>
        <v>0.461538461538462</v>
      </c>
    </row>
    <row r="11" customFormat="false" ht="18" hidden="false" customHeight="true" outlineLevel="0" collapsed="false">
      <c r="A11" s="10" t="s">
        <v>19</v>
      </c>
      <c r="B11" s="11" t="n">
        <v>47</v>
      </c>
      <c r="C11" s="11" t="n">
        <v>13</v>
      </c>
      <c r="D11" s="11" t="n">
        <f aca="false">COUNTIFS('V6 - Authentication'!$F$2:$F$56,"Compliant",'V6 - Authentication'!$E$2:$E$56,1)</f>
        <v>3</v>
      </c>
      <c r="E11" s="12" t="n">
        <f aca="false">IF(C11=0,"",D11/C11)</f>
        <v>0.230769230769231</v>
      </c>
      <c r="F11" s="11" t="n">
        <v>22</v>
      </c>
      <c r="G11" s="11" t="n">
        <f aca="false">COUNTIFS('V6 - Authentication'!$F$2:$F$56,"Compliant",'V6 - Authentication'!$E$2:$E$56,2)</f>
        <v>6</v>
      </c>
      <c r="H11" s="12" t="n">
        <f aca="false">IF(F11=0,"",G11/F11)</f>
        <v>0.272727272727273</v>
      </c>
      <c r="I11" s="11" t="n">
        <v>12</v>
      </c>
      <c r="J11" s="11" t="n">
        <f aca="false">COUNTIFS('V6 - Authentication'!$F$2:$F$56,"Compliant",'V6 - Authentication'!$E$2:$E$56,3)</f>
        <v>1</v>
      </c>
      <c r="K11" s="12" t="n">
        <f aca="false">IF(I11=0,"",J11/I11)</f>
        <v>0.0833333333333333</v>
      </c>
      <c r="L11" s="11" t="n">
        <f aca="false">COUNTIF('V6 - Authentication'!$F$2:$F$56,"Compliant")</f>
        <v>10</v>
      </c>
      <c r="M11" s="12" t="n">
        <f aca="false">IF(B11=0,"",L11/B11)</f>
        <v>0.212765957446809</v>
      </c>
    </row>
    <row r="12" customFormat="false" ht="18" hidden="false" customHeight="true" outlineLevel="0" collapsed="false">
      <c r="A12" s="7" t="s">
        <v>20</v>
      </c>
      <c r="B12" s="8" t="n">
        <v>19</v>
      </c>
      <c r="C12" s="8" t="n">
        <v>6</v>
      </c>
      <c r="D12" s="8" t="n">
        <f aca="false">COUNTIFS('V7 - Session Management'!$F$2:$F$26,"Compliant",'V7 - Session Management'!$E$2:$E$26,1)</f>
        <v>0</v>
      </c>
      <c r="E12" s="9" t="n">
        <f aca="false">IF(C12=0,"",D12/C12)</f>
        <v>0</v>
      </c>
      <c r="F12" s="8" t="n">
        <v>12</v>
      </c>
      <c r="G12" s="8" t="n">
        <f aca="false">COUNTIFS('V7 - Session Management'!$F$2:$F$26,"Compliant",'V7 - Session Management'!$E$2:$E$26,2)</f>
        <v>0</v>
      </c>
      <c r="H12" s="9" t="n">
        <f aca="false">IF(F12=0,"",G12/F12)</f>
        <v>0</v>
      </c>
      <c r="I12" s="8" t="n">
        <v>1</v>
      </c>
      <c r="J12" s="8" t="n">
        <f aca="false">COUNTIFS('V7 - Session Management'!$F$2:$F$26,"Compliant",'V7 - Session Management'!$E$2:$E$26,3)</f>
        <v>0</v>
      </c>
      <c r="K12" s="9" t="n">
        <f aca="false">IF(I12=0,"",J12/I12)</f>
        <v>0</v>
      </c>
      <c r="L12" s="8" t="n">
        <f aca="false">COUNTIF('V7 - Session Management'!$F$2:$F$26,"Compliant")</f>
        <v>0</v>
      </c>
      <c r="M12" s="9" t="n">
        <f aca="false">IF(B12=0,"",L12/B12)</f>
        <v>0</v>
      </c>
    </row>
    <row r="13" customFormat="false" ht="18" hidden="false" customHeight="true" outlineLevel="0" collapsed="false">
      <c r="A13" s="10" t="s">
        <v>21</v>
      </c>
      <c r="B13" s="11" t="n">
        <v>13</v>
      </c>
      <c r="C13" s="11" t="n">
        <v>4</v>
      </c>
      <c r="D13" s="11" t="n">
        <f aca="false">COUNTIFS('V8 - Authorization'!$F$2:$F$18,"Compliant",'V8 - Authorization'!$E$2:$E$18,1)</f>
        <v>0</v>
      </c>
      <c r="E13" s="12" t="n">
        <f aca="false">IF(C13=0,"",D13/C13)</f>
        <v>0</v>
      </c>
      <c r="F13" s="11" t="n">
        <v>3</v>
      </c>
      <c r="G13" s="11" t="n">
        <f aca="false">COUNTIFS('V8 - Authorization'!$F$2:$F$18,"Compliant",'V8 - Authorization'!$E$2:$E$18,2)</f>
        <v>0</v>
      </c>
      <c r="H13" s="12" t="n">
        <f aca="false">IF(F13=0,"",G13/F13)</f>
        <v>0</v>
      </c>
      <c r="I13" s="11" t="n">
        <v>6</v>
      </c>
      <c r="J13" s="11" t="n">
        <f aca="false">COUNTIFS('V8 - Authorization'!$F$2:$F$18,"Compliant",'V8 - Authorization'!$E$2:$E$18,3)</f>
        <v>0</v>
      </c>
      <c r="K13" s="12" t="n">
        <f aca="false">IF(I13=0,"",J13/I13)</f>
        <v>0</v>
      </c>
      <c r="L13" s="11" t="n">
        <f aca="false">COUNTIF('V8 - Authorization'!$F$2:$F$18,"Compliant")</f>
        <v>0</v>
      </c>
      <c r="M13" s="12" t="n">
        <f aca="false">IF(B13=0,"",L13/B13)</f>
        <v>0</v>
      </c>
    </row>
    <row r="14" customFormat="false" ht="18" hidden="false" customHeight="true" outlineLevel="0" collapsed="false">
      <c r="A14" s="7" t="s">
        <v>22</v>
      </c>
      <c r="B14" s="8" t="n">
        <v>7</v>
      </c>
      <c r="C14" s="8" t="n">
        <v>4</v>
      </c>
      <c r="D14" s="8" t="n">
        <f aca="false">COUNTIFS('V9 - Self-contained Tokens'!$F$2:$F$10,"Compliant",'V9 - Self-contained Tokens'!$E$2:$E$10,1)</f>
        <v>0</v>
      </c>
      <c r="E14" s="9" t="n">
        <f aca="false">IF(C14=0,"",D14/C14)</f>
        <v>0</v>
      </c>
      <c r="F14" s="8" t="n">
        <v>3</v>
      </c>
      <c r="G14" s="8" t="n">
        <f aca="false">COUNTIFS('V9 - Self-contained Tokens'!$F$2:$F$10,"Compliant",'V9 - Self-contained Tokens'!$E$2:$E$10,2)</f>
        <v>0</v>
      </c>
      <c r="H14" s="9" t="n">
        <f aca="false">IF(F14=0,"",G14/F14)</f>
        <v>0</v>
      </c>
      <c r="I14" s="8" t="n">
        <v>0</v>
      </c>
      <c r="J14" s="8" t="s">
        <v>23</v>
      </c>
      <c r="K14" s="8" t="s">
        <v>23</v>
      </c>
      <c r="L14" s="8" t="n">
        <f aca="false">COUNTIF('V9 - Self-contained Tokens'!$F$2:$F$10,"Compliant")</f>
        <v>0</v>
      </c>
      <c r="M14" s="9" t="n">
        <f aca="false">IF(B14=0,"",L14/B14)</f>
        <v>0</v>
      </c>
    </row>
    <row r="15" customFormat="false" ht="18" hidden="false" customHeight="true" outlineLevel="0" collapsed="false">
      <c r="A15" s="10" t="s">
        <v>24</v>
      </c>
      <c r="B15" s="11" t="n">
        <v>36</v>
      </c>
      <c r="C15" s="11" t="n">
        <v>5</v>
      </c>
      <c r="D15" s="11" t="n">
        <f aca="false">COUNTIFS('V10 - OAuth and OIDC'!$F$2:$F$44,"Compliant",'V10 - OAuth and OIDC'!$E$2:$E$44,1)</f>
        <v>0</v>
      </c>
      <c r="E15" s="12" t="n">
        <f aca="false">IF(C15=0,"",D15/C15)</f>
        <v>0</v>
      </c>
      <c r="F15" s="11" t="n">
        <v>24</v>
      </c>
      <c r="G15" s="11" t="n">
        <f aca="false">COUNTIFS('V10 - OAuth and OIDC'!$F$2:$F$44,"Compliant",'V10 - OAuth and OIDC'!$E$2:$E$44,2)</f>
        <v>0</v>
      </c>
      <c r="H15" s="12" t="n">
        <f aca="false">IF(F15=0,"",G15/F15)</f>
        <v>0</v>
      </c>
      <c r="I15" s="11" t="n">
        <v>7</v>
      </c>
      <c r="J15" s="11" t="n">
        <f aca="false">COUNTIFS('V10 - OAuth and OIDC'!$F$2:$F$44,"Compliant",'V10 - OAuth and OIDC'!$E$2:$E$44,3)</f>
        <v>0</v>
      </c>
      <c r="K15" s="12" t="n">
        <f aca="false">IF(I15=0,"",J15/I15)</f>
        <v>0</v>
      </c>
      <c r="L15" s="11" t="n">
        <f aca="false">COUNTIF('V10 - OAuth and OIDC'!$F$2:$F$44,"Compliant")</f>
        <v>0</v>
      </c>
      <c r="M15" s="12" t="n">
        <f aca="false">IF(B15=0,"",L15/B15)</f>
        <v>0</v>
      </c>
    </row>
    <row r="16" customFormat="false" ht="18" hidden="false" customHeight="true" outlineLevel="0" collapsed="false">
      <c r="A16" s="7" t="s">
        <v>25</v>
      </c>
      <c r="B16" s="8" t="n">
        <v>24</v>
      </c>
      <c r="C16" s="8" t="n">
        <v>3</v>
      </c>
      <c r="D16" s="8" t="n">
        <f aca="false">COUNTIFS('V11 - Cryptography'!$F$2:$F$32,"Compliant",'V11 - Cryptography'!$E$2:$E$32,1)</f>
        <v>0</v>
      </c>
      <c r="E16" s="9" t="n">
        <f aca="false">IF(C16=0,"",D16/C16)</f>
        <v>0</v>
      </c>
      <c r="F16" s="8" t="n">
        <v>11</v>
      </c>
      <c r="G16" s="8" t="n">
        <f aca="false">COUNTIFS('V11 - Cryptography'!$F$2:$F$32,"Compliant",'V11 - Cryptography'!$E$2:$E$32,2)</f>
        <v>0</v>
      </c>
      <c r="H16" s="9" t="n">
        <f aca="false">IF(F16=0,"",G16/F16)</f>
        <v>0</v>
      </c>
      <c r="I16" s="8" t="n">
        <v>10</v>
      </c>
      <c r="J16" s="8" t="n">
        <f aca="false">COUNTIFS('V11 - Cryptography'!$F$2:$F$32,"Compliant",'V11 - Cryptography'!$E$2:$E$32,3)</f>
        <v>0</v>
      </c>
      <c r="K16" s="9" t="n">
        <f aca="false">IF(I16=0,"",J16/I16)</f>
        <v>0</v>
      </c>
      <c r="L16" s="8" t="n">
        <f aca="false">COUNTIF('V11 - Cryptography'!$F$2:$F$32,"Compliant")</f>
        <v>0</v>
      </c>
      <c r="M16" s="9" t="n">
        <f aca="false">IF(B16=0,"",L16/B16)</f>
        <v>0</v>
      </c>
    </row>
    <row r="17" customFormat="false" ht="18" hidden="false" customHeight="true" outlineLevel="0" collapsed="false">
      <c r="A17" s="10" t="s">
        <v>26</v>
      </c>
      <c r="B17" s="11" t="n">
        <v>12</v>
      </c>
      <c r="C17" s="11" t="n">
        <v>3</v>
      </c>
      <c r="D17" s="11" t="n">
        <f aca="false">COUNTIFS('V12 - Secure Communication'!$F$2:$F$16,"Compliant",'V12 - Secure Communication'!$E$2:$E$16,1)</f>
        <v>0</v>
      </c>
      <c r="E17" s="12" t="n">
        <f aca="false">IF(C17=0,"",D17/C17)</f>
        <v>0</v>
      </c>
      <c r="F17" s="11" t="n">
        <v>6</v>
      </c>
      <c r="G17" s="11" t="n">
        <f aca="false">COUNTIFS('V12 - Secure Communication'!$F$2:$F$16,"Compliant",'V12 - Secure Communication'!$E$2:$E$16,2)</f>
        <v>0</v>
      </c>
      <c r="H17" s="12" t="n">
        <f aca="false">IF(F17=0,"",G17/F17)</f>
        <v>0</v>
      </c>
      <c r="I17" s="11" t="n">
        <v>3</v>
      </c>
      <c r="J17" s="11" t="n">
        <f aca="false">COUNTIFS('V12 - Secure Communication'!$F$2:$F$16,"Compliant",'V12 - Secure Communication'!$E$2:$E$16,3)</f>
        <v>0</v>
      </c>
      <c r="K17" s="12" t="n">
        <f aca="false">IF(I17=0,"",J17/I17)</f>
        <v>0</v>
      </c>
      <c r="L17" s="11" t="n">
        <f aca="false">COUNTIF('V12 - Secure Communication'!$F$2:$F$16,"Compliant")</f>
        <v>0</v>
      </c>
      <c r="M17" s="12" t="n">
        <f aca="false">IF(B17=0,"",L17/B17)</f>
        <v>0</v>
      </c>
    </row>
    <row r="18" customFormat="false" ht="18" hidden="false" customHeight="true" outlineLevel="0" collapsed="false">
      <c r="A18" s="7" t="s">
        <v>27</v>
      </c>
      <c r="B18" s="8" t="n">
        <v>21</v>
      </c>
      <c r="C18" s="8" t="n">
        <v>1</v>
      </c>
      <c r="D18" s="8" t="n">
        <f aca="false">COUNTIFS('V13 - Configuration'!$F$2:$F$26,"Compliant",'V13 - Configuration'!$E$2:$E$26,1)</f>
        <v>0</v>
      </c>
      <c r="E18" s="9" t="n">
        <f aca="false">IF(C18=0,"",D18/C18)</f>
        <v>0</v>
      </c>
      <c r="F18" s="8" t="n">
        <v>12</v>
      </c>
      <c r="G18" s="8" t="n">
        <f aca="false">COUNTIFS('V13 - Configuration'!$F$2:$F$26,"Compliant",'V13 - Configuration'!$E$2:$E$26,2)</f>
        <v>0</v>
      </c>
      <c r="H18" s="9" t="n">
        <f aca="false">IF(F18=0,"",G18/F18)</f>
        <v>0</v>
      </c>
      <c r="I18" s="8" t="n">
        <v>8</v>
      </c>
      <c r="J18" s="8" t="n">
        <f aca="false">COUNTIFS('V13 - Configuration'!$F$2:$F$26,"Compliant",'V13 - Configuration'!$E$2:$E$26,3)</f>
        <v>0</v>
      </c>
      <c r="K18" s="9" t="n">
        <f aca="false">IF(I18=0,"",J18/I18)</f>
        <v>0</v>
      </c>
      <c r="L18" s="8" t="n">
        <f aca="false">COUNTIF('V13 - Configuration'!$F$2:$F$26,"Compliant")</f>
        <v>0</v>
      </c>
      <c r="M18" s="9" t="n">
        <f aca="false">IF(B18=0,"",L18/B18)</f>
        <v>0</v>
      </c>
    </row>
    <row r="19" customFormat="false" ht="18" hidden="false" customHeight="true" outlineLevel="0" collapsed="false">
      <c r="A19" s="10" t="s">
        <v>28</v>
      </c>
      <c r="B19" s="11" t="n">
        <v>13</v>
      </c>
      <c r="C19" s="11" t="n">
        <v>2</v>
      </c>
      <c r="D19" s="11" t="n">
        <f aca="false">COUNTIFS('V14 - Data Protection'!$F$2:$F$17,"Compliant",'V14 - Data Protection'!$E$2:$E$17,1)</f>
        <v>0</v>
      </c>
      <c r="E19" s="12" t="n">
        <f aca="false">IF(C19=0,"",D19/C19)</f>
        <v>0</v>
      </c>
      <c r="F19" s="11" t="n">
        <v>7</v>
      </c>
      <c r="G19" s="11" t="n">
        <f aca="false">COUNTIFS('V14 - Data Protection'!$F$2:$F$17,"Compliant",'V14 - Data Protection'!$E$2:$E$17,2)</f>
        <v>0</v>
      </c>
      <c r="H19" s="12" t="n">
        <f aca="false">IF(F19=0,"",G19/F19)</f>
        <v>0</v>
      </c>
      <c r="I19" s="11" t="n">
        <v>4</v>
      </c>
      <c r="J19" s="11" t="n">
        <f aca="false">COUNTIFS('V14 - Data Protection'!$F$2:$F$17,"Compliant",'V14 - Data Protection'!$E$2:$E$17,3)</f>
        <v>0</v>
      </c>
      <c r="K19" s="12" t="n">
        <f aca="false">IF(I19=0,"",J19/I19)</f>
        <v>0</v>
      </c>
      <c r="L19" s="11" t="n">
        <f aca="false">COUNTIF('V14 - Data Protection'!$F$2:$F$17,"Compliant")</f>
        <v>0</v>
      </c>
      <c r="M19" s="12" t="n">
        <f aca="false">IF(B19=0,"",L19/B19)</f>
        <v>0</v>
      </c>
    </row>
    <row r="20" customFormat="false" ht="18" hidden="false" customHeight="true" outlineLevel="0" collapsed="false">
      <c r="A20" s="7" t="s">
        <v>29</v>
      </c>
      <c r="B20" s="8" t="n">
        <v>21</v>
      </c>
      <c r="C20" s="8" t="n">
        <v>3</v>
      </c>
      <c r="D20" s="8" t="n">
        <f aca="false">COUNTIFS('V15 - Secure Coding and Archite'!$F$2:$F$26,"Compliant",'V15 - Secure Coding and Archite'!$E$2:$E$26,1)</f>
        <v>0</v>
      </c>
      <c r="E20" s="9" t="n">
        <f aca="false">IF(C20=0,"",D20/C20)</f>
        <v>0</v>
      </c>
      <c r="F20" s="8" t="n">
        <v>10</v>
      </c>
      <c r="G20" s="8" t="n">
        <f aca="false">COUNTIFS('V15 - Secure Coding and Archite'!$F$2:$F$26,"Compliant",'V15 - Secure Coding and Archite'!$E$2:$E$26,2)</f>
        <v>0</v>
      </c>
      <c r="H20" s="9" t="n">
        <f aca="false">IF(F20=0,"",G20/F20)</f>
        <v>0</v>
      </c>
      <c r="I20" s="8" t="n">
        <v>8</v>
      </c>
      <c r="J20" s="8" t="n">
        <f aca="false">COUNTIFS('V15 - Secure Coding and Archite'!$F$2:$F$26,"Compliant",'V15 - Secure Coding and Archite'!$E$2:$E$26,3)</f>
        <v>0</v>
      </c>
      <c r="K20" s="9" t="n">
        <f aca="false">IF(I20=0,"",J20/I20)</f>
        <v>0</v>
      </c>
      <c r="L20" s="8" t="n">
        <f aca="false">COUNTIF('V15 - Secure Coding and Archite'!$F$2:$F$26,"Compliant")</f>
        <v>0</v>
      </c>
      <c r="M20" s="9" t="n">
        <f aca="false">IF(B20=0,"",L20/B20)</f>
        <v>0</v>
      </c>
    </row>
    <row r="21" customFormat="false" ht="18" hidden="false" customHeight="true" outlineLevel="0" collapsed="false">
      <c r="A21" s="10" t="s">
        <v>30</v>
      </c>
      <c r="B21" s="11" t="n">
        <v>17</v>
      </c>
      <c r="C21" s="11" t="n">
        <v>0</v>
      </c>
      <c r="D21" s="11" t="s">
        <v>23</v>
      </c>
      <c r="E21" s="11" t="s">
        <v>23</v>
      </c>
      <c r="F21" s="11" t="n">
        <v>16</v>
      </c>
      <c r="G21" s="11" t="n">
        <f aca="false">COUNTIFS('V16 - Security Logging and Erro'!$F$2:$F$23,"Compliant",'V16 - Security Logging and Erro'!$E$2:$E$23,2)</f>
        <v>0</v>
      </c>
      <c r="H21" s="12" t="n">
        <f aca="false">IF(F21=0,"",G21/F21)</f>
        <v>0</v>
      </c>
      <c r="I21" s="11" t="n">
        <v>1</v>
      </c>
      <c r="J21" s="11" t="n">
        <f aca="false">COUNTIFS('V16 - Security Logging and Erro'!$F$2:$F$23,"Compliant",'V16 - Security Logging and Erro'!$E$2:$E$23,3)</f>
        <v>0</v>
      </c>
      <c r="K21" s="12" t="n">
        <f aca="false">IF(I21=0,"",J21/I21)</f>
        <v>0</v>
      </c>
      <c r="L21" s="11" t="n">
        <f aca="false">COUNTIF('V16 - Security Logging and Erro'!$F$2:$F$23,"Compliant")</f>
        <v>0</v>
      </c>
      <c r="M21" s="12" t="n">
        <f aca="false">IF(B21=0,"",L21/B21)</f>
        <v>0</v>
      </c>
    </row>
    <row r="22" customFormat="false" ht="18" hidden="false" customHeight="true" outlineLevel="0" collapsed="false">
      <c r="A22" s="7" t="s">
        <v>31</v>
      </c>
      <c r="B22" s="8" t="n">
        <v>12</v>
      </c>
      <c r="C22" s="8" t="n">
        <v>0</v>
      </c>
      <c r="D22" s="8" t="s">
        <v>23</v>
      </c>
      <c r="E22" s="8" t="s">
        <v>23</v>
      </c>
      <c r="F22" s="8" t="n">
        <v>7</v>
      </c>
      <c r="G22" s="8" t="n">
        <f aca="false">COUNTIFS('V17 - WebRTC'!$F$2:$F$16,"Compliant",'V17 - WebRTC'!$E$2:$E$16,2)</f>
        <v>0</v>
      </c>
      <c r="H22" s="9" t="n">
        <f aca="false">IF(F22=0,"",G22/F22)</f>
        <v>0</v>
      </c>
      <c r="I22" s="8" t="n">
        <v>5</v>
      </c>
      <c r="J22" s="8" t="n">
        <f aca="false">COUNTIFS('V17 - WebRTC'!$F$2:$F$16,"Compliant",'V17 - WebRTC'!$E$2:$E$16,3)</f>
        <v>0</v>
      </c>
      <c r="K22" s="9" t="n">
        <f aca="false">IF(I22=0,"",J22/I22)</f>
        <v>0</v>
      </c>
      <c r="L22" s="8" t="n">
        <f aca="false">COUNTIF('V17 - WebRTC'!$F$2:$F$16,"Compliant")</f>
        <v>0</v>
      </c>
      <c r="M22" s="9" t="n">
        <f aca="false">IF(B22=0,"",L22/B22)</f>
        <v>0</v>
      </c>
    </row>
    <row r="23" customFormat="false" ht="22" hidden="false" customHeight="true" outlineLevel="0" collapsed="false">
      <c r="A23" s="13" t="s">
        <v>32</v>
      </c>
      <c r="B23" s="14" t="n">
        <f aca="false">SUM(B6:B22)</f>
        <v>345</v>
      </c>
      <c r="C23" s="14" t="n">
        <f aca="false">SUM(C6:C22)</f>
        <v>70</v>
      </c>
      <c r="D23" s="14" t="n">
        <f aca="false">SUM(D6:D22)</f>
        <v>18</v>
      </c>
      <c r="E23" s="15" t="n">
        <f aca="false">IFERROR(AVERAGE(E6:E22),"")</f>
        <v>0.232051282051282</v>
      </c>
      <c r="F23" s="14" t="n">
        <f aca="false">SUM(F6:F22)</f>
        <v>183</v>
      </c>
      <c r="G23" s="14" t="n">
        <f aca="false">SUM(G6:G22)</f>
        <v>18</v>
      </c>
      <c r="H23" s="15" t="n">
        <f aca="false">IFERROR(AVERAGE(H6:H22),"")</f>
        <v>0.0917614892847091</v>
      </c>
      <c r="I23" s="14" t="n">
        <f aca="false">SUM(I6:I22)</f>
        <v>92</v>
      </c>
      <c r="J23" s="14" t="n">
        <f aca="false">SUM(J6:J22)</f>
        <v>3</v>
      </c>
      <c r="K23" s="15" t="n">
        <f aca="false">IFERROR(AVERAGE(K6:K22),"")</f>
        <v>0.046875</v>
      </c>
      <c r="L23" s="14" t="n">
        <f aca="false">SUM(L6:L22)</f>
        <v>39</v>
      </c>
      <c r="M23" s="15" t="n">
        <f aca="false">IFERROR(AVERAGE(M6:M22),"")</f>
        <v>0.106928260718785</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C1" colorId="64" zoomScale="73" zoomScaleNormal="73" zoomScalePageLayoutView="100" workbookViewId="0">
      <pane xSplit="0" ySplit="1" topLeftCell="A19" activePane="bottomLeft" state="frozen"/>
      <selection pane="topLeft" activeCell="C1" activeCellId="0" sqref="C1"/>
      <selection pane="bottomLeft" activeCell="G41" activeCellId="0" sqref="G4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51.01"/>
    <col collapsed="false" customWidth="true" hidden="false" outlineLevel="0" max="8" min="8" style="1" width="40.2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41</v>
      </c>
      <c r="B2" s="17" t="s">
        <v>42</v>
      </c>
      <c r="C2" s="17"/>
      <c r="D2" s="17"/>
      <c r="E2" s="17"/>
      <c r="F2" s="17"/>
      <c r="G2" s="17"/>
      <c r="H2" s="17"/>
    </row>
    <row r="3" customFormat="false" ht="43.75" hidden="false" customHeight="true" outlineLevel="0" collapsed="false">
      <c r="A3" s="18" t="s">
        <v>41</v>
      </c>
      <c r="B3" s="18" t="s">
        <v>42</v>
      </c>
      <c r="C3" s="19" t="s">
        <v>43</v>
      </c>
      <c r="D3" s="20" t="s">
        <v>44</v>
      </c>
      <c r="E3" s="21" t="n">
        <v>2</v>
      </c>
      <c r="F3" s="22" t="s">
        <v>45</v>
      </c>
      <c r="G3" s="23" t="s">
        <v>46</v>
      </c>
      <c r="H3" s="24" t="s">
        <v>47</v>
      </c>
    </row>
    <row r="4" customFormat="false" ht="30" hidden="false" customHeight="true" outlineLevel="0" collapsed="false">
      <c r="A4" s="25" t="s">
        <v>41</v>
      </c>
      <c r="B4" s="25" t="s">
        <v>42</v>
      </c>
      <c r="C4" s="26" t="s">
        <v>48</v>
      </c>
      <c r="D4" s="27" t="s">
        <v>49</v>
      </c>
      <c r="E4" s="21" t="n">
        <v>2</v>
      </c>
      <c r="F4" s="22" t="s">
        <v>45</v>
      </c>
      <c r="G4" s="28" t="s">
        <v>50</v>
      </c>
      <c r="H4" s="28" t="s">
        <v>51</v>
      </c>
    </row>
    <row r="5" customFormat="false" ht="18" hidden="false" customHeight="true" outlineLevel="0" collapsed="false">
      <c r="A5" s="17" t="s">
        <v>52</v>
      </c>
      <c r="B5" s="17" t="s">
        <v>53</v>
      </c>
      <c r="C5" s="17"/>
      <c r="D5" s="17"/>
      <c r="E5" s="17"/>
      <c r="F5" s="17"/>
      <c r="G5" s="29"/>
      <c r="H5" s="29"/>
    </row>
    <row r="6" customFormat="false" ht="30" hidden="false" customHeight="true" outlineLevel="0" collapsed="false">
      <c r="A6" s="18" t="s">
        <v>52</v>
      </c>
      <c r="B6" s="18" t="s">
        <v>53</v>
      </c>
      <c r="C6" s="19" t="s">
        <v>54</v>
      </c>
      <c r="D6" s="20" t="s">
        <v>55</v>
      </c>
      <c r="E6" s="30" t="n">
        <v>1</v>
      </c>
      <c r="F6" s="22" t="s">
        <v>45</v>
      </c>
      <c r="G6" s="23" t="s">
        <v>56</v>
      </c>
      <c r="H6" s="23" t="s">
        <v>57</v>
      </c>
    </row>
    <row r="7" customFormat="false" ht="30" hidden="false" customHeight="true" outlineLevel="0" collapsed="false">
      <c r="A7" s="25" t="s">
        <v>52</v>
      </c>
      <c r="B7" s="25" t="s">
        <v>53</v>
      </c>
      <c r="C7" s="26" t="s">
        <v>58</v>
      </c>
      <c r="D7" s="27" t="s">
        <v>59</v>
      </c>
      <c r="E7" s="30" t="n">
        <v>1</v>
      </c>
      <c r="F7" s="22" t="s">
        <v>60</v>
      </c>
      <c r="G7" s="28" t="s">
        <v>61</v>
      </c>
      <c r="H7" s="28" t="s">
        <v>23</v>
      </c>
    </row>
    <row r="8" customFormat="false" ht="30" hidden="false" customHeight="true" outlineLevel="0" collapsed="false">
      <c r="A8" s="18" t="s">
        <v>52</v>
      </c>
      <c r="B8" s="18" t="s">
        <v>53</v>
      </c>
      <c r="C8" s="19" t="s">
        <v>62</v>
      </c>
      <c r="D8" s="20" t="s">
        <v>63</v>
      </c>
      <c r="E8" s="30" t="n">
        <v>1</v>
      </c>
      <c r="F8" s="22" t="s">
        <v>60</v>
      </c>
      <c r="G8" s="23" t="s">
        <v>64</v>
      </c>
      <c r="H8" s="28" t="s">
        <v>23</v>
      </c>
    </row>
    <row r="9" customFormat="false" ht="30" hidden="false" customHeight="true" outlineLevel="0" collapsed="false">
      <c r="A9" s="25" t="s">
        <v>52</v>
      </c>
      <c r="B9" s="25" t="s">
        <v>53</v>
      </c>
      <c r="C9" s="26" t="s">
        <v>65</v>
      </c>
      <c r="D9" s="27" t="s">
        <v>66</v>
      </c>
      <c r="E9" s="30" t="n">
        <v>1</v>
      </c>
      <c r="F9" s="22" t="s">
        <v>45</v>
      </c>
      <c r="G9" s="23" t="s">
        <v>67</v>
      </c>
      <c r="H9" s="23" t="s">
        <v>68</v>
      </c>
    </row>
    <row r="10" customFormat="false" ht="30" hidden="false" customHeight="true" outlineLevel="0" collapsed="false">
      <c r="A10" s="18" t="s">
        <v>52</v>
      </c>
      <c r="B10" s="18" t="s">
        <v>53</v>
      </c>
      <c r="C10" s="19" t="s">
        <v>69</v>
      </c>
      <c r="D10" s="20" t="s">
        <v>70</v>
      </c>
      <c r="E10" s="30" t="n">
        <v>1</v>
      </c>
      <c r="F10" s="22" t="s">
        <v>45</v>
      </c>
      <c r="G10" s="23" t="s">
        <v>71</v>
      </c>
      <c r="H10" s="23" t="s">
        <v>72</v>
      </c>
    </row>
    <row r="11" customFormat="false" ht="30" hidden="false" customHeight="true" outlineLevel="0" collapsed="false">
      <c r="A11" s="25" t="s">
        <v>52</v>
      </c>
      <c r="B11" s="25" t="s">
        <v>53</v>
      </c>
      <c r="C11" s="26" t="s">
        <v>73</v>
      </c>
      <c r="D11" s="27" t="s">
        <v>74</v>
      </c>
      <c r="E11" s="21" t="n">
        <v>2</v>
      </c>
      <c r="F11" s="22" t="s">
        <v>60</v>
      </c>
      <c r="G11" s="23" t="s">
        <v>75</v>
      </c>
      <c r="H11" s="28" t="s">
        <v>23</v>
      </c>
    </row>
    <row r="12" customFormat="false" ht="30" hidden="false" customHeight="true" outlineLevel="0" collapsed="false">
      <c r="A12" s="18" t="s">
        <v>52</v>
      </c>
      <c r="B12" s="18" t="s">
        <v>53</v>
      </c>
      <c r="C12" s="19" t="s">
        <v>76</v>
      </c>
      <c r="D12" s="20" t="s">
        <v>77</v>
      </c>
      <c r="E12" s="21" t="n">
        <v>2</v>
      </c>
      <c r="F12" s="22" t="s">
        <v>60</v>
      </c>
      <c r="G12" s="23" t="s">
        <v>78</v>
      </c>
      <c r="H12" s="28" t="s">
        <v>23</v>
      </c>
    </row>
    <row r="13" customFormat="false" ht="30" hidden="false" customHeight="true" outlineLevel="0" collapsed="false">
      <c r="A13" s="25" t="s">
        <v>52</v>
      </c>
      <c r="B13" s="25" t="s">
        <v>53</v>
      </c>
      <c r="C13" s="26" t="s">
        <v>79</v>
      </c>
      <c r="D13" s="27" t="s">
        <v>80</v>
      </c>
      <c r="E13" s="21" t="n">
        <v>2</v>
      </c>
      <c r="F13" s="22" t="s">
        <v>60</v>
      </c>
      <c r="G13" s="23" t="s">
        <v>81</v>
      </c>
      <c r="H13" s="28" t="s">
        <v>23</v>
      </c>
    </row>
    <row r="14" customFormat="false" ht="30" hidden="false" customHeight="true" outlineLevel="0" collapsed="false">
      <c r="A14" s="18" t="s">
        <v>52</v>
      </c>
      <c r="B14" s="18" t="s">
        <v>53</v>
      </c>
      <c r="C14" s="19" t="s">
        <v>82</v>
      </c>
      <c r="D14" s="20" t="s">
        <v>83</v>
      </c>
      <c r="E14" s="21" t="n">
        <v>2</v>
      </c>
      <c r="F14" s="22" t="s">
        <v>45</v>
      </c>
      <c r="G14" s="23" t="s">
        <v>84</v>
      </c>
      <c r="H14" s="23" t="s">
        <v>85</v>
      </c>
    </row>
    <row r="15" customFormat="false" ht="30" hidden="false" customHeight="true" outlineLevel="0" collapsed="false">
      <c r="A15" s="25" t="s">
        <v>52</v>
      </c>
      <c r="B15" s="25" t="s">
        <v>53</v>
      </c>
      <c r="C15" s="26" t="s">
        <v>86</v>
      </c>
      <c r="D15" s="27" t="s">
        <v>87</v>
      </c>
      <c r="E15" s="31" t="n">
        <v>3</v>
      </c>
      <c r="F15" s="22" t="s">
        <v>60</v>
      </c>
      <c r="G15" s="23" t="s">
        <v>88</v>
      </c>
      <c r="H15" s="28" t="s">
        <v>23</v>
      </c>
    </row>
    <row r="16" customFormat="false" ht="18" hidden="false" customHeight="true" outlineLevel="0" collapsed="false">
      <c r="A16" s="17" t="s">
        <v>89</v>
      </c>
      <c r="B16" s="17" t="s">
        <v>90</v>
      </c>
      <c r="C16" s="17"/>
      <c r="D16" s="17"/>
      <c r="E16" s="17"/>
      <c r="F16" s="17"/>
      <c r="G16" s="23"/>
      <c r="H16" s="23"/>
    </row>
    <row r="17" customFormat="false" ht="30" hidden="false" customHeight="true" outlineLevel="0" collapsed="false">
      <c r="A17" s="18" t="s">
        <v>89</v>
      </c>
      <c r="B17" s="18" t="s">
        <v>90</v>
      </c>
      <c r="C17" s="19" t="s">
        <v>91</v>
      </c>
      <c r="D17" s="20" t="s">
        <v>92</v>
      </c>
      <c r="E17" s="30" t="n">
        <v>1</v>
      </c>
      <c r="F17" s="22" t="s">
        <v>60</v>
      </c>
      <c r="G17" s="23" t="s">
        <v>93</v>
      </c>
      <c r="H17" s="28" t="s">
        <v>23</v>
      </c>
    </row>
    <row r="18" customFormat="false" ht="30" hidden="false" customHeight="true" outlineLevel="0" collapsed="false">
      <c r="A18" s="25" t="s">
        <v>89</v>
      </c>
      <c r="B18" s="25" t="s">
        <v>90</v>
      </c>
      <c r="C18" s="26" t="s">
        <v>94</v>
      </c>
      <c r="D18" s="27" t="s">
        <v>95</v>
      </c>
      <c r="E18" s="30" t="n">
        <v>1</v>
      </c>
      <c r="F18" s="22" t="s">
        <v>45</v>
      </c>
      <c r="G18" s="23" t="s">
        <v>96</v>
      </c>
      <c r="H18" s="23" t="s">
        <v>97</v>
      </c>
    </row>
    <row r="19" customFormat="false" ht="30" hidden="false" customHeight="true" outlineLevel="0" collapsed="false">
      <c r="A19" s="18" t="s">
        <v>89</v>
      </c>
      <c r="B19" s="18" t="s">
        <v>90</v>
      </c>
      <c r="C19" s="19" t="s">
        <v>98</v>
      </c>
      <c r="D19" s="20" t="s">
        <v>99</v>
      </c>
      <c r="E19" s="21" t="n">
        <v>2</v>
      </c>
      <c r="F19" s="22" t="s">
        <v>45</v>
      </c>
      <c r="G19" s="23" t="s">
        <v>100</v>
      </c>
      <c r="H19" s="23" t="s">
        <v>101</v>
      </c>
    </row>
    <row r="20" customFormat="false" ht="30" hidden="false" customHeight="true" outlineLevel="0" collapsed="false">
      <c r="A20" s="25" t="s">
        <v>89</v>
      </c>
      <c r="B20" s="25" t="s">
        <v>90</v>
      </c>
      <c r="C20" s="26" t="s">
        <v>102</v>
      </c>
      <c r="D20" s="27" t="s">
        <v>103</v>
      </c>
      <c r="E20" s="21" t="n">
        <v>2</v>
      </c>
      <c r="F20" s="22" t="s">
        <v>60</v>
      </c>
      <c r="G20" s="23" t="s">
        <v>104</v>
      </c>
      <c r="H20" s="28" t="s">
        <v>23</v>
      </c>
    </row>
    <row r="21" customFormat="false" ht="30" hidden="false" customHeight="true" outlineLevel="0" collapsed="false">
      <c r="A21" s="18" t="s">
        <v>89</v>
      </c>
      <c r="B21" s="18" t="s">
        <v>90</v>
      </c>
      <c r="C21" s="19" t="s">
        <v>105</v>
      </c>
      <c r="D21" s="20" t="s">
        <v>106</v>
      </c>
      <c r="E21" s="21" t="n">
        <v>2</v>
      </c>
      <c r="F21" s="22" t="s">
        <v>60</v>
      </c>
      <c r="G21" s="23" t="s">
        <v>107</v>
      </c>
      <c r="H21" s="28" t="s">
        <v>23</v>
      </c>
    </row>
    <row r="22" customFormat="false" ht="30" hidden="false" customHeight="true" outlineLevel="0" collapsed="false">
      <c r="A22" s="25" t="s">
        <v>89</v>
      </c>
      <c r="B22" s="25" t="s">
        <v>90</v>
      </c>
      <c r="C22" s="26" t="s">
        <v>108</v>
      </c>
      <c r="D22" s="27" t="s">
        <v>109</v>
      </c>
      <c r="E22" s="21" t="n">
        <v>2</v>
      </c>
      <c r="F22" s="22" t="s">
        <v>60</v>
      </c>
      <c r="G22" s="23" t="s">
        <v>110</v>
      </c>
      <c r="H22" s="28" t="s">
        <v>23</v>
      </c>
    </row>
    <row r="23" customFormat="false" ht="30" hidden="false" customHeight="true" outlineLevel="0" collapsed="false">
      <c r="A23" s="18" t="s">
        <v>89</v>
      </c>
      <c r="B23" s="18" t="s">
        <v>90</v>
      </c>
      <c r="C23" s="19" t="s">
        <v>111</v>
      </c>
      <c r="D23" s="20" t="s">
        <v>112</v>
      </c>
      <c r="E23" s="21" t="n">
        <v>2</v>
      </c>
      <c r="F23" s="22" t="s">
        <v>60</v>
      </c>
      <c r="G23" s="23" t="s">
        <v>113</v>
      </c>
      <c r="H23" s="28" t="s">
        <v>23</v>
      </c>
    </row>
    <row r="24" customFormat="false" ht="30" hidden="false" customHeight="true" outlineLevel="0" collapsed="false">
      <c r="A24" s="25" t="s">
        <v>89</v>
      </c>
      <c r="B24" s="25" t="s">
        <v>90</v>
      </c>
      <c r="C24" s="26" t="s">
        <v>114</v>
      </c>
      <c r="D24" s="27" t="s">
        <v>115</v>
      </c>
      <c r="E24" s="21" t="n">
        <v>2</v>
      </c>
      <c r="F24" s="22" t="s">
        <v>60</v>
      </c>
      <c r="G24" s="23" t="s">
        <v>116</v>
      </c>
      <c r="H24" s="28" t="s">
        <v>23</v>
      </c>
    </row>
    <row r="25" customFormat="false" ht="30" hidden="false" customHeight="true" outlineLevel="0" collapsed="false">
      <c r="A25" s="18" t="s">
        <v>89</v>
      </c>
      <c r="B25" s="18" t="s">
        <v>90</v>
      </c>
      <c r="C25" s="19" t="s">
        <v>117</v>
      </c>
      <c r="D25" s="20" t="s">
        <v>118</v>
      </c>
      <c r="E25" s="21" t="n">
        <v>2</v>
      </c>
      <c r="F25" s="22" t="s">
        <v>60</v>
      </c>
      <c r="G25" s="23" t="s">
        <v>119</v>
      </c>
      <c r="H25" s="28" t="s">
        <v>23</v>
      </c>
    </row>
    <row r="26" customFormat="false" ht="39.85" hidden="false" customHeight="true" outlineLevel="0" collapsed="false">
      <c r="A26" s="25" t="s">
        <v>89</v>
      </c>
      <c r="B26" s="25" t="s">
        <v>90</v>
      </c>
      <c r="C26" s="26" t="s">
        <v>120</v>
      </c>
      <c r="D26" s="27" t="s">
        <v>121</v>
      </c>
      <c r="E26" s="21" t="n">
        <v>2</v>
      </c>
      <c r="F26" s="22" t="s">
        <v>45</v>
      </c>
      <c r="G26" s="23" t="s">
        <v>122</v>
      </c>
      <c r="H26" s="23" t="s">
        <v>123</v>
      </c>
    </row>
    <row r="27" customFormat="false" ht="30" hidden="false" customHeight="true" outlineLevel="0" collapsed="false">
      <c r="A27" s="18" t="s">
        <v>89</v>
      </c>
      <c r="B27" s="18" t="s">
        <v>90</v>
      </c>
      <c r="C27" s="19" t="s">
        <v>124</v>
      </c>
      <c r="D27" s="20" t="s">
        <v>125</v>
      </c>
      <c r="E27" s="21" t="n">
        <v>2</v>
      </c>
      <c r="F27" s="22" t="s">
        <v>60</v>
      </c>
      <c r="G27" s="23" t="s">
        <v>126</v>
      </c>
      <c r="H27" s="28" t="s">
        <v>23</v>
      </c>
    </row>
    <row r="28" customFormat="false" ht="30" hidden="false" customHeight="true" outlineLevel="0" collapsed="false">
      <c r="A28" s="25" t="s">
        <v>89</v>
      </c>
      <c r="B28" s="25" t="s">
        <v>90</v>
      </c>
      <c r="C28" s="26" t="s">
        <v>127</v>
      </c>
      <c r="D28" s="27" t="s">
        <v>128</v>
      </c>
      <c r="E28" s="31" t="n">
        <v>3</v>
      </c>
      <c r="F28" s="22" t="s">
        <v>45</v>
      </c>
      <c r="G28" s="23" t="s">
        <v>129</v>
      </c>
      <c r="H28" s="23" t="s">
        <v>85</v>
      </c>
    </row>
    <row r="29" customFormat="false" ht="18" hidden="false" customHeight="true" outlineLevel="0" collapsed="false">
      <c r="A29" s="17" t="s">
        <v>130</v>
      </c>
      <c r="B29" s="17" t="s">
        <v>131</v>
      </c>
      <c r="C29" s="17"/>
      <c r="D29" s="17"/>
      <c r="E29" s="17"/>
      <c r="F29" s="17"/>
      <c r="G29" s="23"/>
      <c r="H29" s="23"/>
    </row>
    <row r="30" customFormat="false" ht="30" hidden="false" customHeight="true" outlineLevel="0" collapsed="false">
      <c r="A30" s="18" t="s">
        <v>130</v>
      </c>
      <c r="B30" s="18" t="s">
        <v>131</v>
      </c>
      <c r="C30" s="19" t="s">
        <v>132</v>
      </c>
      <c r="D30" s="20" t="s">
        <v>133</v>
      </c>
      <c r="E30" s="21" t="n">
        <v>2</v>
      </c>
      <c r="F30" s="22" t="s">
        <v>60</v>
      </c>
      <c r="G30" s="23" t="s">
        <v>134</v>
      </c>
      <c r="H30" s="28" t="s">
        <v>23</v>
      </c>
    </row>
    <row r="31" customFormat="false" ht="30" hidden="false" customHeight="true" outlineLevel="0" collapsed="false">
      <c r="A31" s="25" t="s">
        <v>130</v>
      </c>
      <c r="B31" s="25" t="s">
        <v>131</v>
      </c>
      <c r="C31" s="26" t="s">
        <v>135</v>
      </c>
      <c r="D31" s="27" t="s">
        <v>136</v>
      </c>
      <c r="E31" s="21" t="n">
        <v>2</v>
      </c>
      <c r="F31" s="22" t="s">
        <v>60</v>
      </c>
      <c r="G31" s="23" t="s">
        <v>137</v>
      </c>
      <c r="H31" s="28" t="s">
        <v>23</v>
      </c>
    </row>
    <row r="32" customFormat="false" ht="30" hidden="false" customHeight="true" outlineLevel="0" collapsed="false">
      <c r="A32" s="18" t="s">
        <v>130</v>
      </c>
      <c r="B32" s="18" t="s">
        <v>131</v>
      </c>
      <c r="C32" s="19" t="s">
        <v>138</v>
      </c>
      <c r="D32" s="20" t="s">
        <v>139</v>
      </c>
      <c r="E32" s="21" t="n">
        <v>2</v>
      </c>
      <c r="F32" s="22" t="s">
        <v>60</v>
      </c>
      <c r="G32" s="23" t="s">
        <v>140</v>
      </c>
      <c r="H32" s="28" t="s">
        <v>23</v>
      </c>
    </row>
    <row r="33" customFormat="false" ht="18" hidden="false" customHeight="true" outlineLevel="0" collapsed="false">
      <c r="A33" s="17" t="s">
        <v>141</v>
      </c>
      <c r="B33" s="17" t="s">
        <v>142</v>
      </c>
      <c r="C33" s="17"/>
      <c r="D33" s="17"/>
      <c r="E33" s="17"/>
      <c r="F33" s="17"/>
      <c r="G33" s="23"/>
      <c r="H33" s="23"/>
    </row>
    <row r="34" customFormat="false" ht="30" hidden="false" customHeight="true" outlineLevel="0" collapsed="false">
      <c r="A34" s="18" t="s">
        <v>141</v>
      </c>
      <c r="B34" s="18" t="s">
        <v>142</v>
      </c>
      <c r="C34" s="19" t="s">
        <v>143</v>
      </c>
      <c r="D34" s="20" t="s">
        <v>144</v>
      </c>
      <c r="E34" s="30" t="n">
        <v>1</v>
      </c>
      <c r="F34" s="22" t="s">
        <v>45</v>
      </c>
      <c r="G34" s="23" t="s">
        <v>145</v>
      </c>
      <c r="H34" s="23" t="s">
        <v>146</v>
      </c>
    </row>
    <row r="35" customFormat="false" ht="30" hidden="false" customHeight="true" outlineLevel="0" collapsed="false">
      <c r="A35" s="25" t="s">
        <v>141</v>
      </c>
      <c r="B35" s="25" t="s">
        <v>142</v>
      </c>
      <c r="C35" s="26" t="s">
        <v>147</v>
      </c>
      <c r="D35" s="27" t="s">
        <v>148</v>
      </c>
      <c r="E35" s="21" t="n">
        <v>2</v>
      </c>
      <c r="F35" s="22" t="s">
        <v>45</v>
      </c>
      <c r="G35" s="23" t="s">
        <v>149</v>
      </c>
      <c r="H35" s="23" t="s">
        <v>150</v>
      </c>
    </row>
    <row r="36" customFormat="false" ht="30" hidden="false" customHeight="true" outlineLevel="0" collapsed="false">
      <c r="A36" s="18" t="s">
        <v>141</v>
      </c>
      <c r="B36" s="18" t="s">
        <v>142</v>
      </c>
      <c r="C36" s="19" t="s">
        <v>151</v>
      </c>
      <c r="D36" s="20" t="s">
        <v>152</v>
      </c>
      <c r="E36" s="31" t="n">
        <v>3</v>
      </c>
      <c r="F36" s="22" t="s">
        <v>45</v>
      </c>
      <c r="G36" s="23" t="s">
        <v>153</v>
      </c>
      <c r="H36" s="23" t="s">
        <v>154</v>
      </c>
    </row>
  </sheetData>
  <conditionalFormatting sqref="F4:F36 F2">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conditionalFormatting sqref="F3">
    <cfRule type="cellIs" priority="5" operator="equal" aboveAverage="0" equalAverage="0" bottom="0" percent="0" rank="0" text="" dxfId="0">
      <formula>"Compliant"</formula>
    </cfRule>
    <cfRule type="cellIs" priority="6" operator="equal" aboveAverage="0" equalAverage="0" bottom="0" percent="0" rank="0" text="" dxfId="1">
      <formula>"In Progress"</formula>
    </cfRule>
    <cfRule type="cellIs" priority="7"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C1" colorId="64" zoomScale="73" zoomScaleNormal="73" zoomScalePageLayoutView="100" workbookViewId="0">
      <pane xSplit="0" ySplit="1" topLeftCell="A7" activePane="bottomLeft" state="frozen"/>
      <selection pane="topLeft" activeCell="C1" activeCellId="0" sqref="C1"/>
      <selection pane="bottomLeft" activeCell="H19" activeCellId="0" sqref="H19"/>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8.4"/>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155</v>
      </c>
      <c r="B2" s="17" t="s">
        <v>156</v>
      </c>
      <c r="C2" s="17"/>
      <c r="D2" s="17"/>
      <c r="E2" s="17"/>
      <c r="F2" s="17"/>
      <c r="G2" s="17"/>
      <c r="H2" s="17"/>
    </row>
    <row r="3" customFormat="false" ht="73.6" hidden="false" customHeight="true" outlineLevel="0" collapsed="false">
      <c r="A3" s="18" t="s">
        <v>155</v>
      </c>
      <c r="B3" s="18" t="s">
        <v>156</v>
      </c>
      <c r="C3" s="19" t="s">
        <v>157</v>
      </c>
      <c r="D3" s="20" t="s">
        <v>158</v>
      </c>
      <c r="E3" s="30" t="n">
        <v>1</v>
      </c>
      <c r="F3" s="22" t="s">
        <v>45</v>
      </c>
      <c r="G3" s="23" t="s">
        <v>159</v>
      </c>
      <c r="H3" s="23" t="s">
        <v>160</v>
      </c>
    </row>
    <row r="4" customFormat="false" ht="47" hidden="false" customHeight="true" outlineLevel="0" collapsed="false">
      <c r="A4" s="25" t="s">
        <v>155</v>
      </c>
      <c r="B4" s="25" t="s">
        <v>156</v>
      </c>
      <c r="C4" s="26" t="s">
        <v>161</v>
      </c>
      <c r="D4" s="27" t="s">
        <v>162</v>
      </c>
      <c r="E4" s="21" t="n">
        <v>2</v>
      </c>
      <c r="F4" s="22" t="s">
        <v>45</v>
      </c>
      <c r="G4" s="28" t="s">
        <v>163</v>
      </c>
      <c r="H4" s="24" t="s">
        <v>164</v>
      </c>
    </row>
    <row r="5" customFormat="false" ht="46" hidden="false" customHeight="true" outlineLevel="0" collapsed="false">
      <c r="A5" s="18" t="s">
        <v>155</v>
      </c>
      <c r="B5" s="18" t="s">
        <v>156</v>
      </c>
      <c r="C5" s="19" t="s">
        <v>165</v>
      </c>
      <c r="D5" s="20" t="s">
        <v>166</v>
      </c>
      <c r="E5" s="21" t="n">
        <v>2</v>
      </c>
      <c r="F5" s="22" t="s">
        <v>45</v>
      </c>
      <c r="G5" s="23" t="s">
        <v>167</v>
      </c>
      <c r="H5" s="23" t="s">
        <v>168</v>
      </c>
    </row>
    <row r="6" customFormat="false" ht="18" hidden="false" customHeight="true" outlineLevel="0" collapsed="false">
      <c r="A6" s="17" t="s">
        <v>169</v>
      </c>
      <c r="B6" s="17" t="s">
        <v>170</v>
      </c>
      <c r="C6" s="17"/>
      <c r="D6" s="17"/>
      <c r="E6" s="17"/>
      <c r="F6" s="17"/>
      <c r="G6" s="29"/>
      <c r="H6" s="29"/>
    </row>
    <row r="7" customFormat="false" ht="30" hidden="false" customHeight="true" outlineLevel="0" collapsed="false">
      <c r="A7" s="18" t="s">
        <v>169</v>
      </c>
      <c r="B7" s="18" t="s">
        <v>170</v>
      </c>
      <c r="C7" s="19" t="s">
        <v>171</v>
      </c>
      <c r="D7" s="20" t="s">
        <v>172</v>
      </c>
      <c r="E7" s="30" t="n">
        <v>1</v>
      </c>
      <c r="F7" s="22" t="s">
        <v>45</v>
      </c>
      <c r="G7" s="23" t="s">
        <v>173</v>
      </c>
      <c r="H7" s="23" t="s">
        <v>174</v>
      </c>
    </row>
    <row r="8" customFormat="false" ht="30" hidden="false" customHeight="true" outlineLevel="0" collapsed="false">
      <c r="A8" s="25" t="s">
        <v>169</v>
      </c>
      <c r="B8" s="25" t="s">
        <v>170</v>
      </c>
      <c r="C8" s="26" t="s">
        <v>175</v>
      </c>
      <c r="D8" s="27" t="s">
        <v>176</v>
      </c>
      <c r="E8" s="30" t="n">
        <v>1</v>
      </c>
      <c r="F8" s="22" t="s">
        <v>45</v>
      </c>
      <c r="G8" s="28" t="s">
        <v>177</v>
      </c>
      <c r="H8" s="28" t="s">
        <v>178</v>
      </c>
    </row>
    <row r="9" customFormat="false" ht="30" hidden="false" customHeight="true" outlineLevel="0" collapsed="false">
      <c r="A9" s="18" t="s">
        <v>169</v>
      </c>
      <c r="B9" s="18" t="s">
        <v>170</v>
      </c>
      <c r="C9" s="19" t="s">
        <v>179</v>
      </c>
      <c r="D9" s="20" t="s">
        <v>180</v>
      </c>
      <c r="E9" s="21" t="n">
        <v>2</v>
      </c>
      <c r="F9" s="22" t="s">
        <v>181</v>
      </c>
      <c r="G9" s="23"/>
      <c r="H9" s="23" t="s">
        <v>182</v>
      </c>
    </row>
    <row r="10" customFormat="false" ht="18" hidden="false" customHeight="true" outlineLevel="0" collapsed="false">
      <c r="A10" s="17" t="s">
        <v>183</v>
      </c>
      <c r="B10" s="17" t="s">
        <v>184</v>
      </c>
      <c r="C10" s="17"/>
      <c r="D10" s="17"/>
      <c r="E10" s="17"/>
      <c r="F10" s="17"/>
      <c r="G10" s="29"/>
      <c r="H10" s="29"/>
    </row>
    <row r="11" customFormat="false" ht="30" hidden="false" customHeight="true" outlineLevel="0" collapsed="false">
      <c r="A11" s="18" t="s">
        <v>183</v>
      </c>
      <c r="B11" s="18" t="s">
        <v>184</v>
      </c>
      <c r="C11" s="19" t="s">
        <v>185</v>
      </c>
      <c r="D11" s="20" t="s">
        <v>186</v>
      </c>
      <c r="E11" s="30" t="n">
        <v>1</v>
      </c>
      <c r="F11" s="22" t="s">
        <v>45</v>
      </c>
      <c r="G11" s="23" t="s">
        <v>187</v>
      </c>
      <c r="H11" s="23" t="s">
        <v>164</v>
      </c>
    </row>
    <row r="12" customFormat="false" ht="30" hidden="false" customHeight="true" outlineLevel="0" collapsed="false">
      <c r="A12" s="25" t="s">
        <v>183</v>
      </c>
      <c r="B12" s="25" t="s">
        <v>184</v>
      </c>
      <c r="C12" s="26" t="s">
        <v>188</v>
      </c>
      <c r="D12" s="27" t="s">
        <v>189</v>
      </c>
      <c r="E12" s="21" t="n">
        <v>2</v>
      </c>
      <c r="F12" s="22" t="s">
        <v>45</v>
      </c>
      <c r="G12" s="28" t="s">
        <v>190</v>
      </c>
      <c r="H12" s="32" t="s">
        <v>191</v>
      </c>
    </row>
    <row r="13" customFormat="false" ht="30" hidden="false" customHeight="true" outlineLevel="0" collapsed="false">
      <c r="A13" s="18" t="s">
        <v>183</v>
      </c>
      <c r="B13" s="18" t="s">
        <v>184</v>
      </c>
      <c r="C13" s="19" t="s">
        <v>192</v>
      </c>
      <c r="D13" s="20" t="s">
        <v>193</v>
      </c>
      <c r="E13" s="21" t="n">
        <v>2</v>
      </c>
      <c r="F13" s="22" t="s">
        <v>45</v>
      </c>
      <c r="G13" s="23" t="s">
        <v>194</v>
      </c>
      <c r="H13" s="23" t="s">
        <v>123</v>
      </c>
    </row>
    <row r="14" customFormat="false" ht="30" hidden="false" customHeight="true" outlineLevel="0" collapsed="false">
      <c r="A14" s="25" t="s">
        <v>183</v>
      </c>
      <c r="B14" s="25" t="s">
        <v>184</v>
      </c>
      <c r="C14" s="26" t="s">
        <v>195</v>
      </c>
      <c r="D14" s="27" t="s">
        <v>196</v>
      </c>
      <c r="E14" s="21" t="n">
        <v>2</v>
      </c>
      <c r="F14" s="22" t="s">
        <v>60</v>
      </c>
      <c r="G14" s="28" t="s">
        <v>197</v>
      </c>
      <c r="H14" s="28" t="s">
        <v>23</v>
      </c>
    </row>
    <row r="15" customFormat="false" ht="30" hidden="false" customHeight="true" outlineLevel="0" collapsed="false">
      <c r="A15" s="18" t="s">
        <v>183</v>
      </c>
      <c r="B15" s="18" t="s">
        <v>184</v>
      </c>
      <c r="C15" s="19" t="s">
        <v>198</v>
      </c>
      <c r="D15" s="20" t="s">
        <v>199</v>
      </c>
      <c r="E15" s="31" t="n">
        <v>3</v>
      </c>
      <c r="F15" s="22" t="s">
        <v>60</v>
      </c>
      <c r="G15" s="23" t="s">
        <v>200</v>
      </c>
      <c r="H15" s="23" t="s">
        <v>23</v>
      </c>
    </row>
    <row r="16" customFormat="false" ht="18" hidden="false" customHeight="true" outlineLevel="0" collapsed="false">
      <c r="A16" s="17" t="s">
        <v>201</v>
      </c>
      <c r="B16" s="17" t="s">
        <v>202</v>
      </c>
      <c r="C16" s="17"/>
      <c r="D16" s="17"/>
      <c r="E16" s="17"/>
      <c r="F16" s="17"/>
      <c r="G16" s="29"/>
      <c r="H16" s="29"/>
    </row>
    <row r="17" customFormat="false" ht="59.25" hidden="false" customHeight="true" outlineLevel="0" collapsed="false">
      <c r="A17" s="18" t="s">
        <v>201</v>
      </c>
      <c r="B17" s="18" t="s">
        <v>202</v>
      </c>
      <c r="C17" s="19" t="s">
        <v>203</v>
      </c>
      <c r="D17" s="20" t="s">
        <v>204</v>
      </c>
      <c r="E17" s="21" t="n">
        <v>2</v>
      </c>
      <c r="F17" s="22" t="s">
        <v>205</v>
      </c>
      <c r="G17" s="32" t="s">
        <v>206</v>
      </c>
      <c r="H17" s="23" t="s">
        <v>207</v>
      </c>
    </row>
    <row r="18" customFormat="false" ht="30" hidden="false" customHeight="true" outlineLevel="0" collapsed="false">
      <c r="A18" s="25" t="s">
        <v>201</v>
      </c>
      <c r="B18" s="25" t="s">
        <v>202</v>
      </c>
      <c r="C18" s="26" t="s">
        <v>208</v>
      </c>
      <c r="D18" s="27" t="s">
        <v>209</v>
      </c>
      <c r="E18" s="31" t="n">
        <v>3</v>
      </c>
      <c r="F18" s="22" t="s">
        <v>60</v>
      </c>
      <c r="G18" s="28" t="s">
        <v>210</v>
      </c>
      <c r="H18" s="28" t="s">
        <v>23</v>
      </c>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true" showRowColHeaders="true" showZeros="true" rightToLeft="false" tabSelected="false" showOutlineSymbols="true" defaultGridColor="true" view="normal" topLeftCell="D1" colorId="64" zoomScale="73" zoomScaleNormal="73" zoomScalePageLayoutView="100" workbookViewId="0">
      <pane xSplit="0" ySplit="1" topLeftCell="A25" activePane="bottomLeft" state="frozen"/>
      <selection pane="topLeft" activeCell="D1" activeCellId="0" sqref="D1"/>
      <selection pane="bottomLeft" activeCell="I29" activeCellId="0" sqref="I29"/>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54.51"/>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211</v>
      </c>
      <c r="B2" s="17" t="s">
        <v>212</v>
      </c>
      <c r="C2" s="17"/>
      <c r="D2" s="17"/>
      <c r="E2" s="17"/>
      <c r="F2" s="17"/>
      <c r="G2" s="17"/>
      <c r="H2" s="17"/>
    </row>
    <row r="3" customFormat="false" ht="55.2" hidden="false" customHeight="true" outlineLevel="0" collapsed="false">
      <c r="A3" s="18" t="s">
        <v>211</v>
      </c>
      <c r="B3" s="18" t="s">
        <v>212</v>
      </c>
      <c r="C3" s="19" t="s">
        <v>213</v>
      </c>
      <c r="D3" s="20" t="s">
        <v>214</v>
      </c>
      <c r="E3" s="31" t="n">
        <v>3</v>
      </c>
      <c r="F3" s="22" t="s">
        <v>60</v>
      </c>
      <c r="G3" s="33" t="s">
        <v>215</v>
      </c>
      <c r="H3" s="33" t="s">
        <v>23</v>
      </c>
    </row>
    <row r="4" customFormat="false" ht="18" hidden="false" customHeight="true" outlineLevel="0" collapsed="false">
      <c r="A4" s="17" t="s">
        <v>216</v>
      </c>
      <c r="B4" s="17" t="s">
        <v>217</v>
      </c>
      <c r="C4" s="17"/>
      <c r="D4" s="17"/>
      <c r="E4" s="17"/>
      <c r="F4" s="17"/>
      <c r="G4" s="34"/>
      <c r="H4" s="17"/>
    </row>
    <row r="5" customFormat="false" ht="27.6" hidden="false" customHeight="true" outlineLevel="0" collapsed="false">
      <c r="A5" s="18" t="s">
        <v>216</v>
      </c>
      <c r="B5" s="18" t="s">
        <v>217</v>
      </c>
      <c r="C5" s="19" t="s">
        <v>218</v>
      </c>
      <c r="D5" s="20" t="s">
        <v>219</v>
      </c>
      <c r="E5" s="30" t="n">
        <v>1</v>
      </c>
      <c r="F5" s="22" t="s">
        <v>60</v>
      </c>
      <c r="G5" s="33" t="s">
        <v>220</v>
      </c>
      <c r="H5" s="33" t="s">
        <v>23</v>
      </c>
    </row>
    <row r="6" customFormat="false" ht="23.5" hidden="false" customHeight="true" outlineLevel="0" collapsed="false">
      <c r="A6" s="25" t="s">
        <v>216</v>
      </c>
      <c r="B6" s="25" t="s">
        <v>217</v>
      </c>
      <c r="C6" s="26" t="s">
        <v>221</v>
      </c>
      <c r="D6" s="27" t="s">
        <v>222</v>
      </c>
      <c r="E6" s="30" t="n">
        <v>1</v>
      </c>
      <c r="F6" s="22" t="s">
        <v>60</v>
      </c>
      <c r="G6" s="33" t="s">
        <v>223</v>
      </c>
      <c r="H6" s="33" t="s">
        <v>23</v>
      </c>
    </row>
    <row r="7" customFormat="false" ht="21.45" hidden="false" customHeight="true" outlineLevel="0" collapsed="false">
      <c r="A7" s="18" t="s">
        <v>216</v>
      </c>
      <c r="B7" s="18" t="s">
        <v>217</v>
      </c>
      <c r="C7" s="19" t="s">
        <v>224</v>
      </c>
      <c r="D7" s="20" t="s">
        <v>225</v>
      </c>
      <c r="E7" s="31" t="n">
        <v>3</v>
      </c>
      <c r="F7" s="22" t="s">
        <v>60</v>
      </c>
      <c r="G7" s="33" t="s">
        <v>226</v>
      </c>
      <c r="H7" s="33" t="s">
        <v>23</v>
      </c>
    </row>
    <row r="8" customFormat="false" ht="18.4" hidden="false" customHeight="true" outlineLevel="0" collapsed="false">
      <c r="A8" s="17" t="s">
        <v>227</v>
      </c>
      <c r="B8" s="17" t="s">
        <v>228</v>
      </c>
      <c r="C8" s="17"/>
      <c r="D8" s="17"/>
      <c r="E8" s="17"/>
      <c r="F8" s="17"/>
      <c r="G8" s="34"/>
      <c r="H8" s="17"/>
    </row>
    <row r="9" customFormat="false" ht="18.4" hidden="false" customHeight="true" outlineLevel="0" collapsed="false">
      <c r="A9" s="18" t="s">
        <v>227</v>
      </c>
      <c r="B9" s="18" t="s">
        <v>228</v>
      </c>
      <c r="C9" s="19" t="s">
        <v>229</v>
      </c>
      <c r="D9" s="20" t="s">
        <v>230</v>
      </c>
      <c r="E9" s="30" t="n">
        <v>1</v>
      </c>
      <c r="F9" s="22" t="s">
        <v>60</v>
      </c>
      <c r="G9" s="33" t="s">
        <v>231</v>
      </c>
      <c r="H9" s="33" t="s">
        <v>23</v>
      </c>
    </row>
    <row r="10" customFormat="false" ht="21.45" hidden="false" customHeight="true" outlineLevel="0" collapsed="false">
      <c r="A10" s="25" t="s">
        <v>227</v>
      </c>
      <c r="B10" s="25" t="s">
        <v>228</v>
      </c>
      <c r="C10" s="26" t="s">
        <v>232</v>
      </c>
      <c r="D10" s="27" t="s">
        <v>233</v>
      </c>
      <c r="E10" s="21" t="n">
        <v>2</v>
      </c>
      <c r="F10" s="22" t="s">
        <v>60</v>
      </c>
      <c r="G10" s="33" t="s">
        <v>234</v>
      </c>
      <c r="H10" s="33" t="s">
        <v>23</v>
      </c>
    </row>
    <row r="11" customFormat="false" ht="30" hidden="false" customHeight="true" outlineLevel="0" collapsed="false">
      <c r="A11" s="18" t="s">
        <v>227</v>
      </c>
      <c r="B11" s="18" t="s">
        <v>228</v>
      </c>
      <c r="C11" s="19" t="s">
        <v>235</v>
      </c>
      <c r="D11" s="20" t="s">
        <v>236</v>
      </c>
      <c r="E11" s="21" t="n">
        <v>2</v>
      </c>
      <c r="F11" s="22" t="s">
        <v>60</v>
      </c>
      <c r="G11" s="33" t="s">
        <v>234</v>
      </c>
      <c r="H11" s="33" t="s">
        <v>23</v>
      </c>
    </row>
    <row r="12" customFormat="false" ht="30" hidden="false" customHeight="true" outlineLevel="0" collapsed="false">
      <c r="A12" s="25" t="s">
        <v>227</v>
      </c>
      <c r="B12" s="25" t="s">
        <v>228</v>
      </c>
      <c r="C12" s="26" t="s">
        <v>237</v>
      </c>
      <c r="D12" s="27" t="s">
        <v>238</v>
      </c>
      <c r="E12" s="21" t="n">
        <v>2</v>
      </c>
      <c r="F12" s="22" t="s">
        <v>60</v>
      </c>
      <c r="G12" s="33" t="s">
        <v>234</v>
      </c>
      <c r="H12" s="33" t="s">
        <v>23</v>
      </c>
    </row>
    <row r="13" customFormat="false" ht="30" hidden="false" customHeight="true" outlineLevel="0" collapsed="false">
      <c r="A13" s="18" t="s">
        <v>227</v>
      </c>
      <c r="B13" s="18" t="s">
        <v>228</v>
      </c>
      <c r="C13" s="19" t="s">
        <v>239</v>
      </c>
      <c r="D13" s="20" t="s">
        <v>240</v>
      </c>
      <c r="E13" s="31" t="n">
        <v>3</v>
      </c>
      <c r="F13" s="22" t="s">
        <v>60</v>
      </c>
      <c r="G13" s="33" t="s">
        <v>234</v>
      </c>
      <c r="H13" s="33" t="s">
        <v>23</v>
      </c>
    </row>
    <row r="14" customFormat="false" ht="18" hidden="false" customHeight="true" outlineLevel="0" collapsed="false">
      <c r="A14" s="17" t="s">
        <v>241</v>
      </c>
      <c r="B14" s="17" t="s">
        <v>242</v>
      </c>
      <c r="C14" s="17"/>
      <c r="D14" s="17"/>
      <c r="E14" s="17"/>
      <c r="F14" s="17"/>
      <c r="G14" s="34"/>
      <c r="H14" s="17"/>
    </row>
    <row r="15" customFormat="false" ht="30" hidden="false" customHeight="true" outlineLevel="0" collapsed="false">
      <c r="A15" s="18" t="s">
        <v>241</v>
      </c>
      <c r="B15" s="18" t="s">
        <v>242</v>
      </c>
      <c r="C15" s="19" t="s">
        <v>243</v>
      </c>
      <c r="D15" s="20" t="s">
        <v>244</v>
      </c>
      <c r="E15" s="30" t="n">
        <v>1</v>
      </c>
      <c r="F15" s="22" t="s">
        <v>60</v>
      </c>
      <c r="G15" s="33" t="s">
        <v>245</v>
      </c>
      <c r="H15" s="33" t="s">
        <v>23</v>
      </c>
    </row>
    <row r="16" customFormat="false" ht="30" hidden="false" customHeight="true" outlineLevel="0" collapsed="false">
      <c r="A16" s="25" t="s">
        <v>241</v>
      </c>
      <c r="B16" s="25" t="s">
        <v>242</v>
      </c>
      <c r="C16" s="26" t="s">
        <v>246</v>
      </c>
      <c r="D16" s="27" t="s">
        <v>247</v>
      </c>
      <c r="E16" s="30" t="n">
        <v>1</v>
      </c>
      <c r="F16" s="22" t="s">
        <v>60</v>
      </c>
      <c r="G16" s="33" t="s">
        <v>248</v>
      </c>
      <c r="H16" s="33" t="s">
        <v>23</v>
      </c>
    </row>
    <row r="17" customFormat="false" ht="30" hidden="false" customHeight="true" outlineLevel="0" collapsed="false">
      <c r="A17" s="18" t="s">
        <v>241</v>
      </c>
      <c r="B17" s="18" t="s">
        <v>242</v>
      </c>
      <c r="C17" s="19" t="s">
        <v>249</v>
      </c>
      <c r="D17" s="20" t="s">
        <v>250</v>
      </c>
      <c r="E17" s="21" t="n">
        <v>2</v>
      </c>
      <c r="F17" s="22" t="s">
        <v>60</v>
      </c>
      <c r="G17" s="33" t="s">
        <v>251</v>
      </c>
      <c r="H17" s="33" t="s">
        <v>23</v>
      </c>
    </row>
    <row r="18" customFormat="false" ht="30" hidden="false" customHeight="true" outlineLevel="0" collapsed="false">
      <c r="A18" s="25" t="s">
        <v>241</v>
      </c>
      <c r="B18" s="25" t="s">
        <v>242</v>
      </c>
      <c r="C18" s="26" t="s">
        <v>252</v>
      </c>
      <c r="D18" s="27" t="s">
        <v>253</v>
      </c>
      <c r="E18" s="21" t="n">
        <v>2</v>
      </c>
      <c r="F18" s="22" t="s">
        <v>60</v>
      </c>
      <c r="G18" s="33" t="s">
        <v>254</v>
      </c>
      <c r="H18" s="33" t="s">
        <v>23</v>
      </c>
    </row>
    <row r="19" customFormat="false" ht="30" hidden="false" customHeight="true" outlineLevel="0" collapsed="false">
      <c r="A19" s="18" t="s">
        <v>241</v>
      </c>
      <c r="B19" s="18" t="s">
        <v>242</v>
      </c>
      <c r="C19" s="19" t="s">
        <v>255</v>
      </c>
      <c r="D19" s="20" t="s">
        <v>256</v>
      </c>
      <c r="E19" s="21" t="n">
        <v>2</v>
      </c>
      <c r="F19" s="22" t="s">
        <v>60</v>
      </c>
      <c r="G19" s="33" t="s">
        <v>257</v>
      </c>
      <c r="H19" s="33" t="s">
        <v>23</v>
      </c>
    </row>
    <row r="20" customFormat="false" ht="30" hidden="false" customHeight="true" outlineLevel="0" collapsed="false">
      <c r="A20" s="25" t="s">
        <v>241</v>
      </c>
      <c r="B20" s="25" t="s">
        <v>242</v>
      </c>
      <c r="C20" s="26" t="s">
        <v>258</v>
      </c>
      <c r="D20" s="27" t="s">
        <v>259</v>
      </c>
      <c r="E20" s="21" t="n">
        <v>2</v>
      </c>
      <c r="F20" s="22" t="s">
        <v>60</v>
      </c>
      <c r="G20" s="33" t="s">
        <v>260</v>
      </c>
      <c r="H20" s="33" t="s">
        <v>23</v>
      </c>
    </row>
    <row r="21" customFormat="false" ht="30" hidden="false" customHeight="true" outlineLevel="0" collapsed="false">
      <c r="A21" s="18" t="s">
        <v>241</v>
      </c>
      <c r="B21" s="18" t="s">
        <v>242</v>
      </c>
      <c r="C21" s="19" t="s">
        <v>261</v>
      </c>
      <c r="D21" s="20" t="s">
        <v>262</v>
      </c>
      <c r="E21" s="31" t="n">
        <v>3</v>
      </c>
      <c r="F21" s="22" t="s">
        <v>60</v>
      </c>
      <c r="G21" s="33" t="s">
        <v>263</v>
      </c>
      <c r="H21" s="33" t="s">
        <v>23</v>
      </c>
    </row>
    <row r="22" customFormat="false" ht="30" hidden="false" customHeight="true" outlineLevel="0" collapsed="false">
      <c r="A22" s="25" t="s">
        <v>241</v>
      </c>
      <c r="B22" s="25" t="s">
        <v>242</v>
      </c>
      <c r="C22" s="26" t="s">
        <v>264</v>
      </c>
      <c r="D22" s="27" t="s">
        <v>265</v>
      </c>
      <c r="E22" s="31" t="n">
        <v>3</v>
      </c>
      <c r="F22" s="22" t="s">
        <v>60</v>
      </c>
      <c r="G22" s="33" t="s">
        <v>266</v>
      </c>
      <c r="H22" s="33" t="s">
        <v>23</v>
      </c>
    </row>
    <row r="23" customFormat="false" ht="18" hidden="false" customHeight="true" outlineLevel="0" collapsed="false">
      <c r="A23" s="17" t="s">
        <v>267</v>
      </c>
      <c r="B23" s="17" t="s">
        <v>268</v>
      </c>
      <c r="C23" s="17"/>
      <c r="D23" s="17"/>
      <c r="E23" s="17"/>
      <c r="F23" s="17"/>
      <c r="G23" s="34"/>
      <c r="H23" s="17"/>
    </row>
    <row r="24" customFormat="false" ht="30" hidden="false" customHeight="true" outlineLevel="0" collapsed="false">
      <c r="A24" s="18" t="s">
        <v>267</v>
      </c>
      <c r="B24" s="18" t="s">
        <v>268</v>
      </c>
      <c r="C24" s="19" t="s">
        <v>269</v>
      </c>
      <c r="D24" s="20" t="s">
        <v>270</v>
      </c>
      <c r="E24" s="30" t="n">
        <v>1</v>
      </c>
      <c r="F24" s="22" t="s">
        <v>60</v>
      </c>
      <c r="G24" s="33" t="s">
        <v>271</v>
      </c>
      <c r="H24" s="33" t="s">
        <v>23</v>
      </c>
    </row>
    <row r="25" customFormat="false" ht="30" hidden="false" customHeight="true" outlineLevel="0" collapsed="false">
      <c r="A25" s="25" t="s">
        <v>267</v>
      </c>
      <c r="B25" s="25" t="s">
        <v>268</v>
      </c>
      <c r="C25" s="26" t="s">
        <v>272</v>
      </c>
      <c r="D25" s="27" t="s">
        <v>273</v>
      </c>
      <c r="E25" s="30" t="n">
        <v>1</v>
      </c>
      <c r="F25" s="22" t="s">
        <v>60</v>
      </c>
      <c r="G25" s="33" t="s">
        <v>274</v>
      </c>
      <c r="H25" s="33" t="s">
        <v>23</v>
      </c>
    </row>
    <row r="26" customFormat="false" ht="30" hidden="false" customHeight="true" outlineLevel="0" collapsed="false">
      <c r="A26" s="18" t="s">
        <v>267</v>
      </c>
      <c r="B26" s="18" t="s">
        <v>268</v>
      </c>
      <c r="C26" s="19" t="s">
        <v>275</v>
      </c>
      <c r="D26" s="20" t="s">
        <v>276</v>
      </c>
      <c r="E26" s="30" t="n">
        <v>1</v>
      </c>
      <c r="F26" s="22" t="s">
        <v>45</v>
      </c>
      <c r="G26" s="33" t="s">
        <v>277</v>
      </c>
      <c r="H26" s="33" t="s">
        <v>23</v>
      </c>
    </row>
    <row r="27" customFormat="false" ht="30" hidden="false" customHeight="true" outlineLevel="0" collapsed="false">
      <c r="A27" s="25" t="s">
        <v>267</v>
      </c>
      <c r="B27" s="25" t="s">
        <v>268</v>
      </c>
      <c r="C27" s="26" t="s">
        <v>278</v>
      </c>
      <c r="D27" s="27" t="s">
        <v>279</v>
      </c>
      <c r="E27" s="21" t="n">
        <v>2</v>
      </c>
      <c r="F27" s="22" t="s">
        <v>60</v>
      </c>
      <c r="G27" s="33" t="s">
        <v>280</v>
      </c>
      <c r="H27" s="33" t="s">
        <v>23</v>
      </c>
    </row>
    <row r="28" customFormat="false" ht="30" hidden="false" customHeight="true" outlineLevel="0" collapsed="false">
      <c r="A28" s="18" t="s">
        <v>267</v>
      </c>
      <c r="B28" s="18" t="s">
        <v>268</v>
      </c>
      <c r="C28" s="19" t="s">
        <v>281</v>
      </c>
      <c r="D28" s="20" t="s">
        <v>282</v>
      </c>
      <c r="E28" s="21" t="n">
        <v>2</v>
      </c>
      <c r="F28" s="22" t="s">
        <v>60</v>
      </c>
      <c r="G28" s="33" t="s">
        <v>283</v>
      </c>
      <c r="H28" s="33" t="s">
        <v>23</v>
      </c>
    </row>
    <row r="29" customFormat="false" ht="30" hidden="false" customHeight="true" outlineLevel="0" collapsed="false">
      <c r="A29" s="25" t="s">
        <v>267</v>
      </c>
      <c r="B29" s="25" t="s">
        <v>268</v>
      </c>
      <c r="C29" s="26" t="s">
        <v>284</v>
      </c>
      <c r="D29" s="27" t="s">
        <v>285</v>
      </c>
      <c r="E29" s="31" t="n">
        <v>3</v>
      </c>
      <c r="F29" s="22" t="s">
        <v>60</v>
      </c>
      <c r="G29" s="33" t="s">
        <v>286</v>
      </c>
      <c r="H29" s="33" t="s">
        <v>23</v>
      </c>
    </row>
    <row r="30" customFormat="false" ht="30" hidden="false" customHeight="true" outlineLevel="0" collapsed="false">
      <c r="A30" s="18" t="s">
        <v>267</v>
      </c>
      <c r="B30" s="18" t="s">
        <v>268</v>
      </c>
      <c r="C30" s="19" t="s">
        <v>287</v>
      </c>
      <c r="D30" s="20" t="s">
        <v>288</v>
      </c>
      <c r="E30" s="31" t="n">
        <v>3</v>
      </c>
      <c r="F30" s="22" t="s">
        <v>60</v>
      </c>
      <c r="G30" s="33" t="s">
        <v>289</v>
      </c>
      <c r="H30" s="33" t="s">
        <v>23</v>
      </c>
    </row>
    <row r="31" customFormat="false" ht="30" hidden="false" customHeight="true" outlineLevel="0" collapsed="false">
      <c r="A31" s="25" t="s">
        <v>267</v>
      </c>
      <c r="B31" s="25" t="s">
        <v>268</v>
      </c>
      <c r="C31" s="26" t="s">
        <v>290</v>
      </c>
      <c r="D31" s="27" t="s">
        <v>291</v>
      </c>
      <c r="E31" s="31" t="n">
        <v>3</v>
      </c>
      <c r="F31" s="22" t="s">
        <v>60</v>
      </c>
      <c r="G31" s="33" t="s">
        <v>292</v>
      </c>
      <c r="H31" s="33" t="s">
        <v>23</v>
      </c>
    </row>
    <row r="32" customFormat="false" ht="18" hidden="false" customHeight="true" outlineLevel="0" collapsed="false">
      <c r="A32" s="17" t="s">
        <v>293</v>
      </c>
      <c r="B32" s="17" t="s">
        <v>294</v>
      </c>
      <c r="C32" s="17"/>
      <c r="D32" s="17"/>
      <c r="E32" s="17"/>
      <c r="F32" s="17"/>
      <c r="G32" s="34"/>
      <c r="H32" s="17"/>
    </row>
    <row r="33" customFormat="false" ht="30" hidden="false" customHeight="true" outlineLevel="0" collapsed="false">
      <c r="A33" s="18" t="s">
        <v>293</v>
      </c>
      <c r="B33" s="18" t="s">
        <v>294</v>
      </c>
      <c r="C33" s="19" t="s">
        <v>295</v>
      </c>
      <c r="D33" s="20" t="s">
        <v>296</v>
      </c>
      <c r="E33" s="31" t="n">
        <v>3</v>
      </c>
      <c r="F33" s="22" t="s">
        <v>60</v>
      </c>
      <c r="G33" s="33" t="s">
        <v>297</v>
      </c>
      <c r="H33" s="33" t="s">
        <v>23</v>
      </c>
    </row>
    <row r="34" customFormat="false" ht="18" hidden="false" customHeight="true" outlineLevel="0" collapsed="false">
      <c r="A34" s="17" t="s">
        <v>298</v>
      </c>
      <c r="B34" s="17" t="s">
        <v>299</v>
      </c>
      <c r="C34" s="17"/>
      <c r="D34" s="17"/>
      <c r="E34" s="17"/>
      <c r="F34" s="17"/>
      <c r="G34" s="34"/>
      <c r="H34" s="17"/>
    </row>
    <row r="35" customFormat="false" ht="30" hidden="false" customHeight="true" outlineLevel="0" collapsed="false">
      <c r="A35" s="18" t="s">
        <v>298</v>
      </c>
      <c r="B35" s="18" t="s">
        <v>299</v>
      </c>
      <c r="C35" s="19" t="s">
        <v>300</v>
      </c>
      <c r="D35" s="20" t="s">
        <v>301</v>
      </c>
      <c r="E35" s="21" t="n">
        <v>2</v>
      </c>
      <c r="F35" s="22" t="s">
        <v>60</v>
      </c>
      <c r="G35" s="33" t="s">
        <v>302</v>
      </c>
      <c r="H35" s="33" t="s">
        <v>23</v>
      </c>
    </row>
    <row r="36" customFormat="false" ht="30" hidden="false" customHeight="true" outlineLevel="0" collapsed="false">
      <c r="A36" s="25" t="s">
        <v>298</v>
      </c>
      <c r="B36" s="25" t="s">
        <v>299</v>
      </c>
      <c r="C36" s="26" t="s">
        <v>303</v>
      </c>
      <c r="D36" s="27" t="s">
        <v>304</v>
      </c>
      <c r="E36" s="21" t="n">
        <v>2</v>
      </c>
      <c r="F36" s="22" t="s">
        <v>60</v>
      </c>
      <c r="G36" s="33" t="s">
        <v>305</v>
      </c>
      <c r="H36" s="33" t="s">
        <v>23</v>
      </c>
    </row>
    <row r="37" customFormat="false" ht="30" hidden="false" customHeight="true" outlineLevel="0" collapsed="false">
      <c r="A37" s="18" t="s">
        <v>298</v>
      </c>
      <c r="B37" s="18" t="s">
        <v>299</v>
      </c>
      <c r="C37" s="19" t="s">
        <v>306</v>
      </c>
      <c r="D37" s="20" t="s">
        <v>307</v>
      </c>
      <c r="E37" s="31" t="n">
        <v>3</v>
      </c>
      <c r="F37" s="22" t="s">
        <v>60</v>
      </c>
      <c r="G37" s="33" t="s">
        <v>308</v>
      </c>
      <c r="H37" s="33" t="s">
        <v>23</v>
      </c>
    </row>
    <row r="38" customFormat="false" ht="30" hidden="false" customHeight="true" outlineLevel="0" collapsed="false">
      <c r="A38" s="25" t="s">
        <v>298</v>
      </c>
      <c r="B38" s="25" t="s">
        <v>299</v>
      </c>
      <c r="C38" s="26" t="s">
        <v>309</v>
      </c>
      <c r="D38" s="27" t="s">
        <v>310</v>
      </c>
      <c r="E38" s="31" t="n">
        <v>3</v>
      </c>
      <c r="F38" s="22" t="s">
        <v>60</v>
      </c>
      <c r="G38" s="33" t="s">
        <v>311</v>
      </c>
      <c r="H38" s="33" t="s">
        <v>23</v>
      </c>
    </row>
    <row r="39" customFormat="false" ht="30" hidden="false" customHeight="true" outlineLevel="0" collapsed="false">
      <c r="A39" s="18" t="s">
        <v>298</v>
      </c>
      <c r="B39" s="18" t="s">
        <v>299</v>
      </c>
      <c r="C39" s="19" t="s">
        <v>312</v>
      </c>
      <c r="D39" s="20" t="s">
        <v>313</v>
      </c>
      <c r="E39" s="31" t="n">
        <v>3</v>
      </c>
      <c r="F39" s="22" t="s">
        <v>60</v>
      </c>
      <c r="G39" s="33" t="s">
        <v>314</v>
      </c>
      <c r="H39" s="33" t="s">
        <v>23</v>
      </c>
    </row>
  </sheetData>
  <conditionalFormatting sqref="F2:F39">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9"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C1" colorId="64" zoomScale="73" zoomScaleNormal="73" zoomScalePageLayoutView="100" workbookViewId="0">
      <pane xSplit="0" ySplit="1" topLeftCell="A2" activePane="bottomLeft" state="frozen"/>
      <selection pane="topLeft" activeCell="C1" activeCellId="0" sqref="C1"/>
      <selection pane="bottomLeft" activeCell="J17" activeCellId="0" sqref="J17"/>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315</v>
      </c>
      <c r="B2" s="17" t="s">
        <v>316</v>
      </c>
      <c r="C2" s="17"/>
      <c r="D2" s="17"/>
      <c r="E2" s="17"/>
      <c r="F2" s="17"/>
      <c r="G2" s="17"/>
      <c r="H2" s="17"/>
    </row>
    <row r="3" customFormat="false" ht="30" hidden="false" customHeight="true" outlineLevel="0" collapsed="false">
      <c r="A3" s="18" t="s">
        <v>315</v>
      </c>
      <c r="B3" s="18" t="s">
        <v>316</v>
      </c>
      <c r="C3" s="19" t="s">
        <v>317</v>
      </c>
      <c r="D3" s="20" t="s">
        <v>318</v>
      </c>
      <c r="E3" s="30" t="n">
        <v>1</v>
      </c>
      <c r="F3" s="22" t="s">
        <v>45</v>
      </c>
      <c r="G3" s="20" t="s">
        <v>319</v>
      </c>
      <c r="H3" s="20" t="s">
        <v>320</v>
      </c>
    </row>
    <row r="4" customFormat="false" ht="30" hidden="false" customHeight="true" outlineLevel="0" collapsed="false">
      <c r="A4" s="25" t="s">
        <v>315</v>
      </c>
      <c r="B4" s="25" t="s">
        <v>316</v>
      </c>
      <c r="C4" s="26" t="s">
        <v>321</v>
      </c>
      <c r="D4" s="27" t="s">
        <v>322</v>
      </c>
      <c r="E4" s="21" t="n">
        <v>2</v>
      </c>
      <c r="F4" s="22" t="s">
        <v>205</v>
      </c>
      <c r="G4" s="32" t="s">
        <v>323</v>
      </c>
      <c r="H4" s="32" t="s">
        <v>324</v>
      </c>
    </row>
    <row r="5" customFormat="false" ht="30" hidden="false" customHeight="true" outlineLevel="0" collapsed="false">
      <c r="A5" s="18" t="s">
        <v>315</v>
      </c>
      <c r="B5" s="18" t="s">
        <v>316</v>
      </c>
      <c r="C5" s="19" t="s">
        <v>325</v>
      </c>
      <c r="D5" s="20" t="s">
        <v>326</v>
      </c>
      <c r="E5" s="21" t="n">
        <v>2</v>
      </c>
      <c r="F5" s="22" t="s">
        <v>60</v>
      </c>
      <c r="G5" s="32" t="s">
        <v>327</v>
      </c>
      <c r="H5" s="20" t="s">
        <v>23</v>
      </c>
    </row>
    <row r="6" customFormat="false" ht="30" hidden="false" customHeight="true" outlineLevel="0" collapsed="false">
      <c r="A6" s="25" t="s">
        <v>315</v>
      </c>
      <c r="B6" s="25" t="s">
        <v>316</v>
      </c>
      <c r="C6" s="26" t="s">
        <v>328</v>
      </c>
      <c r="D6" s="27" t="s">
        <v>329</v>
      </c>
      <c r="E6" s="31" t="n">
        <v>3</v>
      </c>
      <c r="F6" s="22" t="s">
        <v>205</v>
      </c>
      <c r="G6" s="32" t="s">
        <v>330</v>
      </c>
      <c r="H6" s="32" t="s">
        <v>331</v>
      </c>
    </row>
    <row r="7" customFormat="false" ht="30" hidden="false" customHeight="true" outlineLevel="0" collapsed="false">
      <c r="A7" s="18" t="s">
        <v>315</v>
      </c>
      <c r="B7" s="18" t="s">
        <v>316</v>
      </c>
      <c r="C7" s="19" t="s">
        <v>332</v>
      </c>
      <c r="D7" s="20" t="s">
        <v>333</v>
      </c>
      <c r="E7" s="31" t="n">
        <v>3</v>
      </c>
      <c r="F7" s="22" t="s">
        <v>60</v>
      </c>
      <c r="G7" s="20" t="s">
        <v>334</v>
      </c>
      <c r="H7" s="20" t="s">
        <v>23</v>
      </c>
    </row>
    <row r="8" customFormat="false" ht="18" hidden="false" customHeight="true" outlineLevel="0" collapsed="false">
      <c r="A8" s="17" t="s">
        <v>335</v>
      </c>
      <c r="B8" s="17" t="s">
        <v>336</v>
      </c>
      <c r="C8" s="17"/>
      <c r="D8" s="17"/>
      <c r="E8" s="17"/>
      <c r="F8" s="17"/>
      <c r="G8" s="17"/>
      <c r="H8" s="17"/>
    </row>
    <row r="9" customFormat="false" ht="30" hidden="false" customHeight="true" outlineLevel="0" collapsed="false">
      <c r="A9" s="18" t="s">
        <v>335</v>
      </c>
      <c r="B9" s="18" t="s">
        <v>336</v>
      </c>
      <c r="C9" s="19" t="s">
        <v>337</v>
      </c>
      <c r="D9" s="20" t="s">
        <v>338</v>
      </c>
      <c r="E9" s="21" t="n">
        <v>2</v>
      </c>
      <c r="F9" s="22" t="s">
        <v>60</v>
      </c>
      <c r="G9" s="32" t="s">
        <v>339</v>
      </c>
      <c r="H9" s="20" t="s">
        <v>23</v>
      </c>
    </row>
    <row r="10" customFormat="false" ht="30" hidden="false" customHeight="true" outlineLevel="0" collapsed="false">
      <c r="A10" s="25" t="s">
        <v>335</v>
      </c>
      <c r="B10" s="25" t="s">
        <v>336</v>
      </c>
      <c r="C10" s="26" t="s">
        <v>340</v>
      </c>
      <c r="D10" s="27" t="s">
        <v>341</v>
      </c>
      <c r="E10" s="31" t="n">
        <v>3</v>
      </c>
      <c r="F10" s="22" t="s">
        <v>60</v>
      </c>
      <c r="G10" s="27" t="s">
        <v>342</v>
      </c>
      <c r="H10" s="27" t="s">
        <v>343</v>
      </c>
    </row>
    <row r="11" customFormat="false" ht="30" hidden="false" customHeight="true" outlineLevel="0" collapsed="false">
      <c r="A11" s="18" t="s">
        <v>335</v>
      </c>
      <c r="B11" s="18" t="s">
        <v>336</v>
      </c>
      <c r="C11" s="19" t="s">
        <v>344</v>
      </c>
      <c r="D11" s="20" t="s">
        <v>345</v>
      </c>
      <c r="E11" s="31" t="n">
        <v>3</v>
      </c>
      <c r="F11" s="22" t="s">
        <v>60</v>
      </c>
      <c r="G11" s="27" t="s">
        <v>342</v>
      </c>
      <c r="H11" s="27" t="s">
        <v>343</v>
      </c>
    </row>
    <row r="12" customFormat="false" ht="30" hidden="false" customHeight="true" outlineLevel="0" collapsed="false">
      <c r="A12" s="25" t="s">
        <v>335</v>
      </c>
      <c r="B12" s="25" t="s">
        <v>336</v>
      </c>
      <c r="C12" s="26" t="s">
        <v>346</v>
      </c>
      <c r="D12" s="27" t="s">
        <v>347</v>
      </c>
      <c r="E12" s="31" t="n">
        <v>3</v>
      </c>
      <c r="F12" s="22" t="s">
        <v>60</v>
      </c>
      <c r="G12" s="27" t="s">
        <v>342</v>
      </c>
      <c r="H12" s="27" t="s">
        <v>343</v>
      </c>
    </row>
    <row r="13" customFormat="false" ht="30" hidden="false" customHeight="true" outlineLevel="0" collapsed="false">
      <c r="A13" s="18" t="s">
        <v>335</v>
      </c>
      <c r="B13" s="18" t="s">
        <v>336</v>
      </c>
      <c r="C13" s="19" t="s">
        <v>348</v>
      </c>
      <c r="D13" s="20" t="s">
        <v>349</v>
      </c>
      <c r="E13" s="31" t="n">
        <v>3</v>
      </c>
      <c r="F13" s="22" t="s">
        <v>60</v>
      </c>
      <c r="G13" s="27" t="s">
        <v>342</v>
      </c>
      <c r="H13" s="27" t="s">
        <v>343</v>
      </c>
    </row>
    <row r="14" customFormat="false" ht="18" hidden="false" customHeight="true" outlineLevel="0" collapsed="false">
      <c r="A14" s="17" t="s">
        <v>350</v>
      </c>
      <c r="B14" s="17" t="s">
        <v>351</v>
      </c>
      <c r="C14" s="17"/>
      <c r="D14" s="17"/>
      <c r="E14" s="17"/>
      <c r="F14" s="17"/>
      <c r="G14" s="17"/>
      <c r="H14" s="17"/>
    </row>
    <row r="15" customFormat="false" ht="30" hidden="false" customHeight="true" outlineLevel="0" collapsed="false">
      <c r="A15" s="18" t="s">
        <v>350</v>
      </c>
      <c r="B15" s="18" t="s">
        <v>351</v>
      </c>
      <c r="C15" s="19" t="s">
        <v>352</v>
      </c>
      <c r="D15" s="20" t="s">
        <v>353</v>
      </c>
      <c r="E15" s="21" t="n">
        <v>2</v>
      </c>
      <c r="F15" s="22" t="s">
        <v>60</v>
      </c>
      <c r="G15" s="32" t="s">
        <v>354</v>
      </c>
      <c r="H15" s="20" t="s">
        <v>23</v>
      </c>
    </row>
    <row r="16" customFormat="false" ht="30" hidden="false" customHeight="true" outlineLevel="0" collapsed="false">
      <c r="A16" s="25" t="s">
        <v>350</v>
      </c>
      <c r="B16" s="25" t="s">
        <v>351</v>
      </c>
      <c r="C16" s="26" t="s">
        <v>355</v>
      </c>
      <c r="D16" s="27" t="s">
        <v>356</v>
      </c>
      <c r="E16" s="21" t="n">
        <v>2</v>
      </c>
      <c r="F16" s="22" t="s">
        <v>60</v>
      </c>
      <c r="G16" s="32" t="s">
        <v>354</v>
      </c>
      <c r="H16" s="20" t="s">
        <v>23</v>
      </c>
    </row>
    <row r="17" customFormat="false" ht="18" hidden="false" customHeight="true" outlineLevel="0" collapsed="false">
      <c r="A17" s="17" t="s">
        <v>357</v>
      </c>
      <c r="B17" s="17" t="s">
        <v>358</v>
      </c>
      <c r="C17" s="17"/>
      <c r="D17" s="17"/>
      <c r="E17" s="17"/>
      <c r="F17" s="17"/>
      <c r="G17" s="17"/>
      <c r="H17" s="17"/>
    </row>
    <row r="18" customFormat="false" ht="30" hidden="false" customHeight="true" outlineLevel="0" collapsed="false">
      <c r="A18" s="18" t="s">
        <v>357</v>
      </c>
      <c r="B18" s="18" t="s">
        <v>358</v>
      </c>
      <c r="C18" s="19" t="s">
        <v>359</v>
      </c>
      <c r="D18" s="20" t="s">
        <v>360</v>
      </c>
      <c r="E18" s="30" t="n">
        <v>1</v>
      </c>
      <c r="F18" s="22" t="s">
        <v>60</v>
      </c>
      <c r="G18" s="32" t="s">
        <v>361</v>
      </c>
      <c r="H18" s="20" t="s">
        <v>23</v>
      </c>
    </row>
    <row r="19" customFormat="false" ht="30" hidden="false" customHeight="true" outlineLevel="0" collapsed="false">
      <c r="A19" s="25" t="s">
        <v>357</v>
      </c>
      <c r="B19" s="25" t="s">
        <v>358</v>
      </c>
      <c r="C19" s="26" t="s">
        <v>362</v>
      </c>
      <c r="D19" s="27" t="s">
        <v>363</v>
      </c>
      <c r="E19" s="21" t="n">
        <v>2</v>
      </c>
      <c r="F19" s="22" t="s">
        <v>60</v>
      </c>
      <c r="G19" s="32" t="s">
        <v>361</v>
      </c>
      <c r="H19" s="20" t="s">
        <v>23</v>
      </c>
    </row>
    <row r="20" customFormat="false" ht="30" hidden="false" customHeight="true" outlineLevel="0" collapsed="false">
      <c r="A20" s="18" t="s">
        <v>357</v>
      </c>
      <c r="B20" s="18" t="s">
        <v>358</v>
      </c>
      <c r="C20" s="19" t="s">
        <v>364</v>
      </c>
      <c r="D20" s="20" t="s">
        <v>365</v>
      </c>
      <c r="E20" s="21" t="n">
        <v>2</v>
      </c>
      <c r="F20" s="22" t="s">
        <v>60</v>
      </c>
      <c r="G20" s="32" t="s">
        <v>361</v>
      </c>
      <c r="H20" s="20" t="s">
        <v>23</v>
      </c>
    </row>
    <row r="21" customFormat="false" ht="30" hidden="false" customHeight="true" outlineLevel="0" collapsed="false">
      <c r="A21" s="25" t="s">
        <v>357</v>
      </c>
      <c r="B21" s="25" t="s">
        <v>358</v>
      </c>
      <c r="C21" s="26" t="s">
        <v>366</v>
      </c>
      <c r="D21" s="27" t="s">
        <v>367</v>
      </c>
      <c r="E21" s="21" t="n">
        <v>2</v>
      </c>
      <c r="F21" s="22" t="s">
        <v>60</v>
      </c>
      <c r="G21" s="32" t="s">
        <v>361</v>
      </c>
      <c r="H21" s="20" t="s">
        <v>23</v>
      </c>
    </row>
  </sheetData>
  <conditionalFormatting sqref="F2:F21">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1"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H19" activeCellId="0" sqref="H19"/>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368</v>
      </c>
      <c r="B2" s="17" t="s">
        <v>369</v>
      </c>
      <c r="C2" s="17"/>
      <c r="D2" s="17"/>
      <c r="E2" s="17"/>
      <c r="F2" s="17"/>
      <c r="G2" s="17"/>
      <c r="H2" s="17"/>
    </row>
    <row r="3" customFormat="false" ht="30" hidden="false" customHeight="true" outlineLevel="0" collapsed="false">
      <c r="A3" s="18" t="s">
        <v>368</v>
      </c>
      <c r="B3" s="18" t="s">
        <v>369</v>
      </c>
      <c r="C3" s="19" t="s">
        <v>370</v>
      </c>
      <c r="D3" s="20" t="s">
        <v>371</v>
      </c>
      <c r="E3" s="21" t="n">
        <v>2</v>
      </c>
      <c r="F3" s="22" t="s">
        <v>45</v>
      </c>
      <c r="G3" s="20" t="s">
        <v>372</v>
      </c>
      <c r="H3" s="20" t="s">
        <v>373</v>
      </c>
    </row>
    <row r="4" customFormat="false" ht="18" hidden="false" customHeight="true" outlineLevel="0" collapsed="false">
      <c r="A4" s="17" t="s">
        <v>374</v>
      </c>
      <c r="B4" s="17" t="s">
        <v>375</v>
      </c>
      <c r="C4" s="17"/>
      <c r="D4" s="17"/>
      <c r="E4" s="17"/>
      <c r="F4" s="17"/>
      <c r="G4" s="17"/>
      <c r="H4" s="17"/>
    </row>
    <row r="5" customFormat="false" ht="30" hidden="false" customHeight="true" outlineLevel="0" collapsed="false">
      <c r="A5" s="18" t="s">
        <v>374</v>
      </c>
      <c r="B5" s="18" t="s">
        <v>375</v>
      </c>
      <c r="C5" s="19" t="s">
        <v>376</v>
      </c>
      <c r="D5" s="20" t="s">
        <v>377</v>
      </c>
      <c r="E5" s="30" t="n">
        <v>1</v>
      </c>
      <c r="F5" s="22" t="s">
        <v>45</v>
      </c>
      <c r="G5" s="20" t="s">
        <v>378</v>
      </c>
      <c r="H5" s="20" t="s">
        <v>379</v>
      </c>
    </row>
    <row r="6" customFormat="false" ht="30" hidden="false" customHeight="true" outlineLevel="0" collapsed="false">
      <c r="A6" s="25" t="s">
        <v>374</v>
      </c>
      <c r="B6" s="25" t="s">
        <v>375</v>
      </c>
      <c r="C6" s="26" t="s">
        <v>380</v>
      </c>
      <c r="D6" s="27" t="s">
        <v>381</v>
      </c>
      <c r="E6" s="30" t="n">
        <v>1</v>
      </c>
      <c r="F6" s="22" t="s">
        <v>45</v>
      </c>
      <c r="G6" s="27" t="s">
        <v>382</v>
      </c>
      <c r="H6" s="27" t="s">
        <v>383</v>
      </c>
    </row>
    <row r="7" customFormat="false" ht="30" hidden="false" customHeight="true" outlineLevel="0" collapsed="false">
      <c r="A7" s="18" t="s">
        <v>374</v>
      </c>
      <c r="B7" s="18" t="s">
        <v>375</v>
      </c>
      <c r="C7" s="19" t="s">
        <v>384</v>
      </c>
      <c r="D7" s="20" t="s">
        <v>385</v>
      </c>
      <c r="E7" s="21" t="n">
        <v>2</v>
      </c>
      <c r="F7" s="22" t="s">
        <v>60</v>
      </c>
      <c r="G7" s="20" t="s">
        <v>386</v>
      </c>
      <c r="H7" s="20" t="s">
        <v>23</v>
      </c>
    </row>
    <row r="8" customFormat="false" ht="30" hidden="false" customHeight="true" outlineLevel="0" collapsed="false">
      <c r="A8" s="25" t="s">
        <v>374</v>
      </c>
      <c r="B8" s="25" t="s">
        <v>375</v>
      </c>
      <c r="C8" s="26" t="s">
        <v>387</v>
      </c>
      <c r="D8" s="27" t="s">
        <v>388</v>
      </c>
      <c r="E8" s="31" t="n">
        <v>3</v>
      </c>
      <c r="F8" s="22" t="s">
        <v>205</v>
      </c>
      <c r="G8" s="27" t="s">
        <v>389</v>
      </c>
      <c r="H8" s="27" t="s">
        <v>390</v>
      </c>
    </row>
    <row r="9" customFormat="false" ht="30" hidden="false" customHeight="true" outlineLevel="0" collapsed="false">
      <c r="A9" s="18" t="s">
        <v>374</v>
      </c>
      <c r="B9" s="18" t="s">
        <v>375</v>
      </c>
      <c r="C9" s="19" t="s">
        <v>391</v>
      </c>
      <c r="D9" s="20" t="s">
        <v>392</v>
      </c>
      <c r="E9" s="31" t="n">
        <v>3</v>
      </c>
      <c r="F9" s="22" t="s">
        <v>60</v>
      </c>
      <c r="G9" s="20" t="s">
        <v>393</v>
      </c>
      <c r="H9" s="20" t="s">
        <v>23</v>
      </c>
    </row>
    <row r="10" customFormat="false" ht="30" hidden="false" customHeight="true" outlineLevel="0" collapsed="false">
      <c r="A10" s="25" t="s">
        <v>374</v>
      </c>
      <c r="B10" s="25" t="s">
        <v>375</v>
      </c>
      <c r="C10" s="26" t="s">
        <v>394</v>
      </c>
      <c r="D10" s="27" t="s">
        <v>395</v>
      </c>
      <c r="E10" s="31" t="n">
        <v>3</v>
      </c>
      <c r="F10" s="22" t="s">
        <v>181</v>
      </c>
      <c r="G10" s="27" t="s">
        <v>396</v>
      </c>
      <c r="H10" s="27" t="s">
        <v>397</v>
      </c>
    </row>
    <row r="11" customFormat="false" ht="18" hidden="false" customHeight="true" outlineLevel="0" collapsed="false">
      <c r="A11" s="17" t="s">
        <v>398</v>
      </c>
      <c r="B11" s="17" t="s">
        <v>399</v>
      </c>
      <c r="C11" s="17"/>
      <c r="D11" s="17"/>
      <c r="E11" s="17"/>
      <c r="F11" s="17"/>
      <c r="G11" s="17"/>
      <c r="H11" s="17"/>
    </row>
    <row r="12" customFormat="false" ht="30" hidden="false" customHeight="true" outlineLevel="0" collapsed="false">
      <c r="A12" s="18" t="s">
        <v>398</v>
      </c>
      <c r="B12" s="18" t="s">
        <v>399</v>
      </c>
      <c r="C12" s="19" t="s">
        <v>400</v>
      </c>
      <c r="D12" s="20" t="s">
        <v>401</v>
      </c>
      <c r="E12" s="30" t="n">
        <v>1</v>
      </c>
      <c r="F12" s="22" t="s">
        <v>45</v>
      </c>
      <c r="G12" s="20" t="s">
        <v>402</v>
      </c>
      <c r="H12" s="20" t="s">
        <v>403</v>
      </c>
    </row>
    <row r="13" customFormat="false" ht="30" hidden="false" customHeight="true" outlineLevel="0" collapsed="false">
      <c r="A13" s="25" t="s">
        <v>398</v>
      </c>
      <c r="B13" s="25" t="s">
        <v>399</v>
      </c>
      <c r="C13" s="26" t="s">
        <v>404</v>
      </c>
      <c r="D13" s="27" t="s">
        <v>405</v>
      </c>
      <c r="E13" s="30" t="n">
        <v>1</v>
      </c>
      <c r="F13" s="22" t="s">
        <v>45</v>
      </c>
      <c r="G13" s="27" t="s">
        <v>406</v>
      </c>
      <c r="H13" s="27" t="s">
        <v>407</v>
      </c>
    </row>
    <row r="14" customFormat="false" ht="30" hidden="false" customHeight="true" outlineLevel="0" collapsed="false">
      <c r="A14" s="18" t="s">
        <v>398</v>
      </c>
      <c r="B14" s="18" t="s">
        <v>399</v>
      </c>
      <c r="C14" s="19" t="s">
        <v>408</v>
      </c>
      <c r="D14" s="20" t="s">
        <v>409</v>
      </c>
      <c r="E14" s="31" t="n">
        <v>3</v>
      </c>
      <c r="F14" s="22" t="s">
        <v>60</v>
      </c>
      <c r="G14" s="20" t="s">
        <v>410</v>
      </c>
      <c r="H14" s="20" t="s">
        <v>23</v>
      </c>
    </row>
    <row r="15" customFormat="false" ht="18" hidden="false" customHeight="true" outlineLevel="0" collapsed="false">
      <c r="A15" s="17" t="s">
        <v>411</v>
      </c>
      <c r="B15" s="17" t="s">
        <v>412</v>
      </c>
      <c r="C15" s="17"/>
      <c r="D15" s="17"/>
      <c r="E15" s="17"/>
      <c r="F15" s="17"/>
      <c r="G15" s="17"/>
      <c r="H15" s="17"/>
    </row>
    <row r="16" customFormat="false" ht="30" hidden="false" customHeight="true" outlineLevel="0" collapsed="false">
      <c r="A16" s="18" t="s">
        <v>411</v>
      </c>
      <c r="B16" s="18" t="s">
        <v>412</v>
      </c>
      <c r="C16" s="19" t="s">
        <v>413</v>
      </c>
      <c r="D16" s="20" t="s">
        <v>414</v>
      </c>
      <c r="E16" s="21" t="n">
        <v>2</v>
      </c>
      <c r="F16" s="22" t="s">
        <v>45</v>
      </c>
      <c r="G16" s="20" t="s">
        <v>415</v>
      </c>
      <c r="H16" s="20" t="s">
        <v>416</v>
      </c>
    </row>
    <row r="17" customFormat="false" ht="30" hidden="false" customHeight="true" outlineLevel="0" collapsed="false">
      <c r="A17" s="25" t="s">
        <v>411</v>
      </c>
      <c r="B17" s="25" t="s">
        <v>412</v>
      </c>
      <c r="C17" s="26" t="s">
        <v>417</v>
      </c>
      <c r="D17" s="27" t="s">
        <v>418</v>
      </c>
      <c r="E17" s="21" t="n">
        <v>2</v>
      </c>
      <c r="F17" s="22" t="s">
        <v>205</v>
      </c>
      <c r="G17" s="27" t="s">
        <v>419</v>
      </c>
      <c r="H17" s="27" t="s">
        <v>416</v>
      </c>
    </row>
    <row r="18" customFormat="false" ht="30" hidden="false" customHeight="true" outlineLevel="0" collapsed="false">
      <c r="A18" s="18" t="s">
        <v>411</v>
      </c>
      <c r="B18" s="18" t="s">
        <v>412</v>
      </c>
      <c r="C18" s="19" t="s">
        <v>420</v>
      </c>
      <c r="D18" s="20" t="s">
        <v>421</v>
      </c>
      <c r="E18" s="21" t="n">
        <v>2</v>
      </c>
      <c r="F18" s="22" t="s">
        <v>181</v>
      </c>
      <c r="G18" s="20" t="s">
        <v>422</v>
      </c>
      <c r="H18" s="20" t="s">
        <v>423</v>
      </c>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true" showOutlineSymbols="true" defaultGridColor="true" view="normal" topLeftCell="C1" colorId="64" zoomScale="73" zoomScaleNormal="73" zoomScalePageLayoutView="100" workbookViewId="0">
      <pane xSplit="0" ySplit="1" topLeftCell="A38" activePane="bottomLeft" state="frozen"/>
      <selection pane="topLeft" activeCell="C1" activeCellId="0" sqref="C1"/>
      <selection pane="bottomLeft" activeCell="G61" activeCellId="0" sqref="G6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424</v>
      </c>
      <c r="B2" s="17" t="s">
        <v>425</v>
      </c>
      <c r="C2" s="17"/>
      <c r="D2" s="17"/>
      <c r="E2" s="17"/>
      <c r="F2" s="17"/>
      <c r="G2" s="17"/>
      <c r="H2" s="17"/>
    </row>
    <row r="3" customFormat="false" ht="30" hidden="false" customHeight="true" outlineLevel="0" collapsed="false">
      <c r="A3" s="18" t="s">
        <v>424</v>
      </c>
      <c r="B3" s="18" t="s">
        <v>425</v>
      </c>
      <c r="C3" s="19" t="s">
        <v>426</v>
      </c>
      <c r="D3" s="20" t="s">
        <v>427</v>
      </c>
      <c r="E3" s="30" t="n">
        <v>1</v>
      </c>
      <c r="F3" s="22" t="s">
        <v>45</v>
      </c>
      <c r="G3" s="20" t="s">
        <v>428</v>
      </c>
      <c r="H3" s="20" t="s">
        <v>429</v>
      </c>
    </row>
    <row r="4" customFormat="false" ht="30" hidden="false" customHeight="true" outlineLevel="0" collapsed="false">
      <c r="A4" s="25" t="s">
        <v>424</v>
      </c>
      <c r="B4" s="25" t="s">
        <v>425</v>
      </c>
      <c r="C4" s="26" t="s">
        <v>430</v>
      </c>
      <c r="D4" s="27" t="s">
        <v>431</v>
      </c>
      <c r="E4" s="21" t="n">
        <v>2</v>
      </c>
      <c r="F4" s="22" t="s">
        <v>181</v>
      </c>
      <c r="G4" s="27" t="s">
        <v>432</v>
      </c>
      <c r="H4" s="27" t="s">
        <v>433</v>
      </c>
    </row>
    <row r="5" customFormat="false" ht="30" hidden="false" customHeight="true" outlineLevel="0" collapsed="false">
      <c r="A5" s="18" t="s">
        <v>424</v>
      </c>
      <c r="B5" s="18" t="s">
        <v>425</v>
      </c>
      <c r="C5" s="19" t="s">
        <v>434</v>
      </c>
      <c r="D5" s="20" t="s">
        <v>435</v>
      </c>
      <c r="E5" s="21" t="n">
        <v>2</v>
      </c>
      <c r="F5" s="22" t="s">
        <v>45</v>
      </c>
      <c r="G5" s="20" t="s">
        <v>436</v>
      </c>
      <c r="H5" s="20" t="s">
        <v>437</v>
      </c>
    </row>
    <row r="6" customFormat="false" ht="18" hidden="false" customHeight="true" outlineLevel="0" collapsed="false">
      <c r="A6" s="17" t="s">
        <v>438</v>
      </c>
      <c r="B6" s="17" t="s">
        <v>439</v>
      </c>
      <c r="C6" s="17"/>
      <c r="D6" s="17"/>
      <c r="E6" s="17"/>
      <c r="F6" s="17"/>
      <c r="G6" s="17"/>
      <c r="H6" s="17"/>
    </row>
    <row r="7" customFormat="false" ht="30" hidden="false" customHeight="true" outlineLevel="0" collapsed="false">
      <c r="A7" s="18" t="s">
        <v>438</v>
      </c>
      <c r="B7" s="18" t="s">
        <v>439</v>
      </c>
      <c r="C7" s="19" t="s">
        <v>440</v>
      </c>
      <c r="D7" s="20" t="s">
        <v>441</v>
      </c>
      <c r="E7" s="30" t="n">
        <v>1</v>
      </c>
      <c r="F7" s="22" t="s">
        <v>181</v>
      </c>
      <c r="G7" s="32" t="s">
        <v>442</v>
      </c>
      <c r="H7" s="32" t="s">
        <v>443</v>
      </c>
    </row>
    <row r="8" customFormat="false" ht="30" hidden="false" customHeight="true" outlineLevel="0" collapsed="false">
      <c r="A8" s="25" t="s">
        <v>438</v>
      </c>
      <c r="B8" s="25" t="s">
        <v>439</v>
      </c>
      <c r="C8" s="26" t="s">
        <v>444</v>
      </c>
      <c r="D8" s="27" t="s">
        <v>445</v>
      </c>
      <c r="E8" s="30" t="n">
        <v>1</v>
      </c>
      <c r="F8" s="22" t="s">
        <v>181</v>
      </c>
      <c r="G8" s="32" t="s">
        <v>446</v>
      </c>
      <c r="H8" s="32" t="s">
        <v>447</v>
      </c>
    </row>
    <row r="9" customFormat="false" ht="30" hidden="false" customHeight="true" outlineLevel="0" collapsed="false">
      <c r="A9" s="18" t="s">
        <v>438</v>
      </c>
      <c r="B9" s="18" t="s">
        <v>439</v>
      </c>
      <c r="C9" s="19" t="s">
        <v>448</v>
      </c>
      <c r="D9" s="20" t="s">
        <v>449</v>
      </c>
      <c r="E9" s="30" t="n">
        <v>1</v>
      </c>
      <c r="F9" s="22" t="s">
        <v>181</v>
      </c>
      <c r="G9" s="32" t="s">
        <v>450</v>
      </c>
      <c r="H9" s="32" t="s">
        <v>433</v>
      </c>
    </row>
    <row r="10" customFormat="false" ht="30" hidden="false" customHeight="true" outlineLevel="0" collapsed="false">
      <c r="A10" s="25" t="s">
        <v>438</v>
      </c>
      <c r="B10" s="25" t="s">
        <v>439</v>
      </c>
      <c r="C10" s="26" t="s">
        <v>451</v>
      </c>
      <c r="D10" s="27" t="s">
        <v>452</v>
      </c>
      <c r="E10" s="30" t="n">
        <v>1</v>
      </c>
      <c r="F10" s="22" t="s">
        <v>181</v>
      </c>
      <c r="G10" s="27" t="s">
        <v>453</v>
      </c>
      <c r="H10" s="27" t="s">
        <v>433</v>
      </c>
    </row>
    <row r="11" customFormat="false" ht="30" hidden="false" customHeight="true" outlineLevel="0" collapsed="false">
      <c r="A11" s="18" t="s">
        <v>438</v>
      </c>
      <c r="B11" s="18" t="s">
        <v>439</v>
      </c>
      <c r="C11" s="19" t="s">
        <v>454</v>
      </c>
      <c r="D11" s="20" t="s">
        <v>455</v>
      </c>
      <c r="E11" s="30" t="n">
        <v>1</v>
      </c>
      <c r="F11" s="22" t="s">
        <v>181</v>
      </c>
      <c r="G11" s="32" t="s">
        <v>456</v>
      </c>
      <c r="H11" s="32" t="s">
        <v>178</v>
      </c>
    </row>
    <row r="12" customFormat="false" ht="30" hidden="false" customHeight="true" outlineLevel="0" collapsed="false">
      <c r="A12" s="25" t="s">
        <v>438</v>
      </c>
      <c r="B12" s="25" t="s">
        <v>439</v>
      </c>
      <c r="C12" s="26" t="s">
        <v>457</v>
      </c>
      <c r="D12" s="27" t="s">
        <v>458</v>
      </c>
      <c r="E12" s="30" t="n">
        <v>1</v>
      </c>
      <c r="F12" s="22" t="s">
        <v>60</v>
      </c>
      <c r="G12" s="27" t="s">
        <v>459</v>
      </c>
      <c r="H12" s="27" t="s">
        <v>23</v>
      </c>
    </row>
    <row r="13" customFormat="false" ht="30" hidden="false" customHeight="true" outlineLevel="0" collapsed="false">
      <c r="A13" s="18" t="s">
        <v>438</v>
      </c>
      <c r="B13" s="18" t="s">
        <v>439</v>
      </c>
      <c r="C13" s="19" t="s">
        <v>460</v>
      </c>
      <c r="D13" s="20" t="s">
        <v>461</v>
      </c>
      <c r="E13" s="30" t="n">
        <v>1</v>
      </c>
      <c r="F13" s="22" t="s">
        <v>60</v>
      </c>
      <c r="G13" s="27" t="s">
        <v>459</v>
      </c>
      <c r="H13" s="27" t="s">
        <v>23</v>
      </c>
    </row>
    <row r="14" customFormat="false" ht="30" hidden="false" customHeight="true" outlineLevel="0" collapsed="false">
      <c r="A14" s="25" t="s">
        <v>438</v>
      </c>
      <c r="B14" s="25" t="s">
        <v>439</v>
      </c>
      <c r="C14" s="26" t="s">
        <v>462</v>
      </c>
      <c r="D14" s="27" t="s">
        <v>463</v>
      </c>
      <c r="E14" s="30" t="n">
        <v>1</v>
      </c>
      <c r="F14" s="22" t="s">
        <v>45</v>
      </c>
      <c r="G14" s="27" t="s">
        <v>464</v>
      </c>
      <c r="H14" s="27" t="s">
        <v>443</v>
      </c>
    </row>
    <row r="15" customFormat="false" ht="30" hidden="false" customHeight="true" outlineLevel="0" collapsed="false">
      <c r="A15" s="18" t="s">
        <v>438</v>
      </c>
      <c r="B15" s="18" t="s">
        <v>439</v>
      </c>
      <c r="C15" s="19" t="s">
        <v>465</v>
      </c>
      <c r="D15" s="20" t="s">
        <v>466</v>
      </c>
      <c r="E15" s="21" t="n">
        <v>2</v>
      </c>
      <c r="F15" s="22" t="s">
        <v>45</v>
      </c>
      <c r="G15" s="20" t="s">
        <v>467</v>
      </c>
      <c r="H15" s="20" t="s">
        <v>443</v>
      </c>
    </row>
    <row r="16" customFormat="false" ht="30" hidden="false" customHeight="true" outlineLevel="0" collapsed="false">
      <c r="A16" s="25" t="s">
        <v>438</v>
      </c>
      <c r="B16" s="25" t="s">
        <v>439</v>
      </c>
      <c r="C16" s="26" t="s">
        <v>468</v>
      </c>
      <c r="D16" s="27" t="s">
        <v>469</v>
      </c>
      <c r="E16" s="21" t="n">
        <v>2</v>
      </c>
      <c r="F16" s="22" t="s">
        <v>45</v>
      </c>
      <c r="G16" s="27" t="s">
        <v>470</v>
      </c>
      <c r="H16" s="27"/>
    </row>
    <row r="17" customFormat="false" ht="30" hidden="false" customHeight="true" outlineLevel="0" collapsed="false">
      <c r="A17" s="18" t="s">
        <v>438</v>
      </c>
      <c r="B17" s="18" t="s">
        <v>439</v>
      </c>
      <c r="C17" s="19" t="s">
        <v>471</v>
      </c>
      <c r="D17" s="20" t="s">
        <v>472</v>
      </c>
      <c r="E17" s="21" t="n">
        <v>2</v>
      </c>
      <c r="F17" s="22" t="s">
        <v>181</v>
      </c>
      <c r="G17" s="20" t="s">
        <v>473</v>
      </c>
      <c r="H17" s="20"/>
    </row>
    <row r="18" customFormat="false" ht="30" hidden="false" customHeight="true" outlineLevel="0" collapsed="false">
      <c r="A18" s="25" t="s">
        <v>438</v>
      </c>
      <c r="B18" s="25" t="s">
        <v>439</v>
      </c>
      <c r="C18" s="26" t="s">
        <v>474</v>
      </c>
      <c r="D18" s="27" t="s">
        <v>475</v>
      </c>
      <c r="E18" s="21" t="n">
        <v>2</v>
      </c>
      <c r="F18" s="22" t="s">
        <v>181</v>
      </c>
      <c r="G18" s="27" t="s">
        <v>476</v>
      </c>
      <c r="H18" s="27"/>
    </row>
    <row r="19" customFormat="false" ht="18" hidden="false" customHeight="true" outlineLevel="0" collapsed="false">
      <c r="A19" s="17" t="s">
        <v>477</v>
      </c>
      <c r="B19" s="17" t="s">
        <v>478</v>
      </c>
      <c r="C19" s="17"/>
      <c r="D19" s="17"/>
      <c r="E19" s="17"/>
      <c r="F19" s="17"/>
      <c r="G19" s="17"/>
      <c r="H19" s="17"/>
    </row>
    <row r="20" customFormat="false" ht="30" hidden="false" customHeight="true" outlineLevel="0" collapsed="false">
      <c r="A20" s="18" t="s">
        <v>477</v>
      </c>
      <c r="B20" s="18" t="s">
        <v>478</v>
      </c>
      <c r="C20" s="19" t="s">
        <v>479</v>
      </c>
      <c r="D20" s="20" t="s">
        <v>480</v>
      </c>
      <c r="E20" s="30" t="n">
        <v>1</v>
      </c>
      <c r="F20" s="22" t="s">
        <v>181</v>
      </c>
      <c r="G20" s="20" t="s">
        <v>481</v>
      </c>
      <c r="H20" s="35" t="s">
        <v>482</v>
      </c>
    </row>
    <row r="21" customFormat="false" ht="30" hidden="false" customHeight="true" outlineLevel="0" collapsed="false">
      <c r="A21" s="25" t="s">
        <v>477</v>
      </c>
      <c r="B21" s="25" t="s">
        <v>478</v>
      </c>
      <c r="C21" s="26" t="s">
        <v>483</v>
      </c>
      <c r="D21" s="27" t="s">
        <v>484</v>
      </c>
      <c r="E21" s="30" t="n">
        <v>1</v>
      </c>
      <c r="F21" s="22" t="s">
        <v>181</v>
      </c>
      <c r="G21" s="27" t="s">
        <v>485</v>
      </c>
      <c r="H21" s="27" t="s">
        <v>486</v>
      </c>
    </row>
    <row r="22" customFormat="false" ht="30" hidden="false" customHeight="true" outlineLevel="0" collapsed="false">
      <c r="A22" s="18" t="s">
        <v>477</v>
      </c>
      <c r="B22" s="18" t="s">
        <v>478</v>
      </c>
      <c r="C22" s="19" t="s">
        <v>487</v>
      </c>
      <c r="D22" s="20" t="s">
        <v>488</v>
      </c>
      <c r="E22" s="21" t="n">
        <v>2</v>
      </c>
      <c r="F22" s="22" t="s">
        <v>181</v>
      </c>
      <c r="G22" s="20" t="s">
        <v>489</v>
      </c>
      <c r="H22" s="20"/>
    </row>
    <row r="23" customFormat="false" ht="30" hidden="false" customHeight="true" outlineLevel="0" collapsed="false">
      <c r="A23" s="25" t="s">
        <v>477</v>
      </c>
      <c r="B23" s="25" t="s">
        <v>478</v>
      </c>
      <c r="C23" s="26" t="s">
        <v>490</v>
      </c>
      <c r="D23" s="27" t="s">
        <v>491</v>
      </c>
      <c r="E23" s="21" t="n">
        <v>2</v>
      </c>
      <c r="F23" s="22" t="s">
        <v>45</v>
      </c>
      <c r="G23" s="27" t="s">
        <v>492</v>
      </c>
      <c r="H23" s="27" t="s">
        <v>493</v>
      </c>
    </row>
    <row r="24" customFormat="false" ht="30" hidden="false" customHeight="true" outlineLevel="0" collapsed="false">
      <c r="A24" s="18" t="s">
        <v>477</v>
      </c>
      <c r="B24" s="18" t="s">
        <v>478</v>
      </c>
      <c r="C24" s="19" t="s">
        <v>494</v>
      </c>
      <c r="D24" s="20" t="s">
        <v>495</v>
      </c>
      <c r="E24" s="31" t="n">
        <v>3</v>
      </c>
      <c r="F24" s="22" t="s">
        <v>181</v>
      </c>
      <c r="G24" s="20" t="s">
        <v>496</v>
      </c>
      <c r="H24" s="20"/>
    </row>
    <row r="25" customFormat="false" ht="30" hidden="false" customHeight="true" outlineLevel="0" collapsed="false">
      <c r="A25" s="25" t="s">
        <v>477</v>
      </c>
      <c r="B25" s="25" t="s">
        <v>478</v>
      </c>
      <c r="C25" s="26" t="s">
        <v>497</v>
      </c>
      <c r="D25" s="27" t="s">
        <v>498</v>
      </c>
      <c r="E25" s="31" t="n">
        <v>3</v>
      </c>
      <c r="F25" s="22" t="s">
        <v>45</v>
      </c>
      <c r="G25" s="27" t="s">
        <v>499</v>
      </c>
      <c r="H25" s="27" t="s">
        <v>443</v>
      </c>
    </row>
    <row r="26" customFormat="false" ht="30" hidden="false" customHeight="true" outlineLevel="0" collapsed="false">
      <c r="A26" s="18" t="s">
        <v>477</v>
      </c>
      <c r="B26" s="18" t="s">
        <v>478</v>
      </c>
      <c r="C26" s="19" t="s">
        <v>500</v>
      </c>
      <c r="D26" s="20" t="s">
        <v>501</v>
      </c>
      <c r="E26" s="31" t="n">
        <v>3</v>
      </c>
      <c r="F26" s="22" t="s">
        <v>181</v>
      </c>
      <c r="G26" s="20" t="s">
        <v>502</v>
      </c>
      <c r="H26" s="20"/>
    </row>
    <row r="27" customFormat="false" ht="30" hidden="false" customHeight="true" outlineLevel="0" collapsed="false">
      <c r="A27" s="25" t="s">
        <v>477</v>
      </c>
      <c r="B27" s="25" t="s">
        <v>478</v>
      </c>
      <c r="C27" s="26" t="s">
        <v>503</v>
      </c>
      <c r="D27" s="27" t="s">
        <v>504</v>
      </c>
      <c r="E27" s="31" t="n">
        <v>3</v>
      </c>
      <c r="F27" s="22" t="s">
        <v>181</v>
      </c>
      <c r="G27" s="27" t="s">
        <v>505</v>
      </c>
      <c r="H27" s="27" t="s">
        <v>443</v>
      </c>
    </row>
    <row r="28" customFormat="false" ht="18" hidden="false" customHeight="true" outlineLevel="0" collapsed="false">
      <c r="A28" s="17" t="s">
        <v>506</v>
      </c>
      <c r="B28" s="17" t="s">
        <v>507</v>
      </c>
      <c r="C28" s="17"/>
      <c r="D28" s="17"/>
      <c r="E28" s="17"/>
      <c r="F28" s="17"/>
      <c r="G28" s="17"/>
      <c r="H28" s="17"/>
    </row>
    <row r="29" customFormat="false" ht="30" hidden="false" customHeight="true" outlineLevel="0" collapsed="false">
      <c r="A29" s="18" t="s">
        <v>506</v>
      </c>
      <c r="B29" s="18" t="s">
        <v>507</v>
      </c>
      <c r="C29" s="19" t="s">
        <v>508</v>
      </c>
      <c r="D29" s="20" t="s">
        <v>509</v>
      </c>
      <c r="E29" s="30" t="n">
        <v>1</v>
      </c>
      <c r="F29" s="22" t="s">
        <v>181</v>
      </c>
      <c r="G29" s="20" t="s">
        <v>510</v>
      </c>
      <c r="H29" s="20" t="s">
        <v>486</v>
      </c>
    </row>
    <row r="30" customFormat="false" ht="30" hidden="false" customHeight="true" outlineLevel="0" collapsed="false">
      <c r="A30" s="25" t="s">
        <v>506</v>
      </c>
      <c r="B30" s="25" t="s">
        <v>507</v>
      </c>
      <c r="C30" s="26" t="s">
        <v>511</v>
      </c>
      <c r="D30" s="27" t="s">
        <v>512</v>
      </c>
      <c r="E30" s="30" t="n">
        <v>1</v>
      </c>
      <c r="F30" s="22" t="s">
        <v>45</v>
      </c>
      <c r="G30" s="27" t="s">
        <v>513</v>
      </c>
      <c r="H30" s="27"/>
    </row>
    <row r="31" customFormat="false" ht="30" hidden="false" customHeight="true" outlineLevel="0" collapsed="false">
      <c r="A31" s="18" t="s">
        <v>506</v>
      </c>
      <c r="B31" s="18" t="s">
        <v>507</v>
      </c>
      <c r="C31" s="19" t="s">
        <v>514</v>
      </c>
      <c r="D31" s="20" t="s">
        <v>515</v>
      </c>
      <c r="E31" s="21" t="n">
        <v>2</v>
      </c>
      <c r="F31" s="22" t="s">
        <v>181</v>
      </c>
      <c r="G31" s="36" t="s">
        <v>516</v>
      </c>
      <c r="H31" s="20" t="s">
        <v>447</v>
      </c>
    </row>
    <row r="32" customFormat="false" ht="30" hidden="false" customHeight="true" outlineLevel="0" collapsed="false">
      <c r="A32" s="25" t="s">
        <v>506</v>
      </c>
      <c r="B32" s="25" t="s">
        <v>507</v>
      </c>
      <c r="C32" s="26" t="s">
        <v>517</v>
      </c>
      <c r="D32" s="27" t="s">
        <v>518</v>
      </c>
      <c r="E32" s="21" t="n">
        <v>2</v>
      </c>
      <c r="F32" s="22" t="s">
        <v>60</v>
      </c>
      <c r="G32" s="27" t="s">
        <v>519</v>
      </c>
      <c r="H32" s="27" t="s">
        <v>23</v>
      </c>
    </row>
    <row r="33" customFormat="false" ht="30" hidden="false" customHeight="true" outlineLevel="0" collapsed="false">
      <c r="A33" s="18" t="s">
        <v>506</v>
      </c>
      <c r="B33" s="18" t="s">
        <v>507</v>
      </c>
      <c r="C33" s="19" t="s">
        <v>520</v>
      </c>
      <c r="D33" s="20" t="s">
        <v>521</v>
      </c>
      <c r="E33" s="31" t="n">
        <v>3</v>
      </c>
      <c r="F33" s="22" t="s">
        <v>60</v>
      </c>
      <c r="G33" s="32" t="s">
        <v>522</v>
      </c>
      <c r="H33" s="27" t="s">
        <v>23</v>
      </c>
    </row>
    <row r="34" customFormat="false" ht="30" hidden="false" customHeight="true" outlineLevel="0" collapsed="false">
      <c r="A34" s="25" t="s">
        <v>506</v>
      </c>
      <c r="B34" s="25" t="s">
        <v>507</v>
      </c>
      <c r="C34" s="26" t="s">
        <v>523</v>
      </c>
      <c r="D34" s="27" t="s">
        <v>524</v>
      </c>
      <c r="E34" s="31" t="n">
        <v>3</v>
      </c>
      <c r="F34" s="22" t="s">
        <v>181</v>
      </c>
      <c r="G34" s="27" t="s">
        <v>525</v>
      </c>
      <c r="H34" s="27"/>
    </row>
    <row r="35" customFormat="false" ht="18" hidden="false" customHeight="true" outlineLevel="0" collapsed="false">
      <c r="A35" s="17" t="s">
        <v>526</v>
      </c>
      <c r="B35" s="17" t="s">
        <v>527</v>
      </c>
      <c r="C35" s="17"/>
      <c r="D35" s="17"/>
      <c r="E35" s="17"/>
      <c r="F35" s="17"/>
      <c r="G35" s="17"/>
      <c r="H35" s="17"/>
    </row>
    <row r="36" customFormat="false" ht="30" hidden="false" customHeight="true" outlineLevel="0" collapsed="false">
      <c r="A36" s="18" t="s">
        <v>526</v>
      </c>
      <c r="B36" s="18" t="s">
        <v>527</v>
      </c>
      <c r="C36" s="19" t="s">
        <v>528</v>
      </c>
      <c r="D36" s="20" t="s">
        <v>529</v>
      </c>
      <c r="E36" s="21" t="n">
        <v>2</v>
      </c>
      <c r="F36" s="22" t="s">
        <v>60</v>
      </c>
      <c r="G36" s="20" t="s">
        <v>530</v>
      </c>
      <c r="H36" s="27" t="s">
        <v>23</v>
      </c>
    </row>
    <row r="37" customFormat="false" ht="30" hidden="false" customHeight="true" outlineLevel="0" collapsed="false">
      <c r="A37" s="25" t="s">
        <v>526</v>
      </c>
      <c r="B37" s="25" t="s">
        <v>527</v>
      </c>
      <c r="C37" s="26" t="s">
        <v>531</v>
      </c>
      <c r="D37" s="27" t="s">
        <v>532</v>
      </c>
      <c r="E37" s="21" t="n">
        <v>2</v>
      </c>
      <c r="F37" s="22" t="s">
        <v>60</v>
      </c>
      <c r="G37" s="27" t="s">
        <v>533</v>
      </c>
      <c r="H37" s="27" t="s">
        <v>23</v>
      </c>
    </row>
    <row r="38" customFormat="false" ht="30" hidden="false" customHeight="true" outlineLevel="0" collapsed="false">
      <c r="A38" s="18" t="s">
        <v>526</v>
      </c>
      <c r="B38" s="18" t="s">
        <v>527</v>
      </c>
      <c r="C38" s="19" t="s">
        <v>534</v>
      </c>
      <c r="D38" s="20" t="s">
        <v>535</v>
      </c>
      <c r="E38" s="21" t="n">
        <v>2</v>
      </c>
      <c r="F38" s="22" t="s">
        <v>60</v>
      </c>
      <c r="G38" s="20" t="s">
        <v>536</v>
      </c>
      <c r="H38" s="27" t="s">
        <v>23</v>
      </c>
    </row>
    <row r="39" customFormat="false" ht="30" hidden="false" customHeight="true" outlineLevel="0" collapsed="false">
      <c r="A39" s="25" t="s">
        <v>526</v>
      </c>
      <c r="B39" s="25" t="s">
        <v>527</v>
      </c>
      <c r="C39" s="26" t="s">
        <v>537</v>
      </c>
      <c r="D39" s="27" t="s">
        <v>538</v>
      </c>
      <c r="E39" s="21" t="n">
        <v>2</v>
      </c>
      <c r="F39" s="22" t="s">
        <v>60</v>
      </c>
      <c r="G39" s="27" t="s">
        <v>539</v>
      </c>
      <c r="H39" s="27" t="s">
        <v>23</v>
      </c>
    </row>
    <row r="40" customFormat="false" ht="30" hidden="false" customHeight="true" outlineLevel="0" collapsed="false">
      <c r="A40" s="18" t="s">
        <v>526</v>
      </c>
      <c r="B40" s="18" t="s">
        <v>527</v>
      </c>
      <c r="C40" s="19" t="s">
        <v>540</v>
      </c>
      <c r="D40" s="20" t="s">
        <v>541</v>
      </c>
      <c r="E40" s="21" t="n">
        <v>2</v>
      </c>
      <c r="F40" s="22" t="s">
        <v>60</v>
      </c>
      <c r="G40" s="20" t="s">
        <v>542</v>
      </c>
      <c r="H40" s="27" t="s">
        <v>23</v>
      </c>
    </row>
    <row r="41" customFormat="false" ht="30" hidden="false" customHeight="true" outlineLevel="0" collapsed="false">
      <c r="A41" s="25" t="s">
        <v>526</v>
      </c>
      <c r="B41" s="25" t="s">
        <v>527</v>
      </c>
      <c r="C41" s="26" t="s">
        <v>543</v>
      </c>
      <c r="D41" s="27" t="s">
        <v>544</v>
      </c>
      <c r="E41" s="31" t="n">
        <v>3</v>
      </c>
      <c r="F41" s="22" t="s">
        <v>60</v>
      </c>
      <c r="G41" s="27" t="s">
        <v>545</v>
      </c>
      <c r="H41" s="27" t="s">
        <v>23</v>
      </c>
    </row>
    <row r="42" customFormat="false" ht="30" hidden="false" customHeight="true" outlineLevel="0" collapsed="false">
      <c r="A42" s="18" t="s">
        <v>526</v>
      </c>
      <c r="B42" s="18" t="s">
        <v>527</v>
      </c>
      <c r="C42" s="19" t="s">
        <v>546</v>
      </c>
      <c r="D42" s="20" t="s">
        <v>547</v>
      </c>
      <c r="E42" s="31" t="n">
        <v>3</v>
      </c>
      <c r="F42" s="22" t="s">
        <v>60</v>
      </c>
      <c r="G42" s="20" t="s">
        <v>548</v>
      </c>
      <c r="H42" s="27" t="s">
        <v>23</v>
      </c>
    </row>
    <row r="43" customFormat="false" ht="30" hidden="false" customHeight="true" outlineLevel="0" collapsed="false">
      <c r="A43" s="25" t="s">
        <v>526</v>
      </c>
      <c r="B43" s="25" t="s">
        <v>527</v>
      </c>
      <c r="C43" s="26" t="s">
        <v>549</v>
      </c>
      <c r="D43" s="27" t="s">
        <v>550</v>
      </c>
      <c r="E43" s="31" t="n">
        <v>3</v>
      </c>
      <c r="F43" s="22" t="s">
        <v>60</v>
      </c>
      <c r="G43" s="27" t="s">
        <v>551</v>
      </c>
      <c r="H43" s="27" t="s">
        <v>23</v>
      </c>
    </row>
    <row r="44" customFormat="false" ht="18" hidden="false" customHeight="true" outlineLevel="0" collapsed="false">
      <c r="A44" s="17" t="s">
        <v>552</v>
      </c>
      <c r="B44" s="17" t="s">
        <v>553</v>
      </c>
      <c r="C44" s="17"/>
      <c r="D44" s="17"/>
      <c r="E44" s="17"/>
      <c r="F44" s="17"/>
      <c r="G44" s="17"/>
      <c r="H44" s="17"/>
    </row>
    <row r="45" customFormat="false" ht="30" hidden="false" customHeight="true" outlineLevel="0" collapsed="false">
      <c r="A45" s="18" t="s">
        <v>552</v>
      </c>
      <c r="B45" s="18" t="s">
        <v>553</v>
      </c>
      <c r="C45" s="19" t="s">
        <v>554</v>
      </c>
      <c r="D45" s="20" t="s">
        <v>555</v>
      </c>
      <c r="E45" s="21" t="n">
        <v>2</v>
      </c>
      <c r="F45" s="22" t="s">
        <v>60</v>
      </c>
      <c r="G45" s="20" t="s">
        <v>556</v>
      </c>
      <c r="H45" s="27" t="s">
        <v>23</v>
      </c>
    </row>
    <row r="46" customFormat="false" ht="30" hidden="false" customHeight="true" outlineLevel="0" collapsed="false">
      <c r="A46" s="25" t="s">
        <v>552</v>
      </c>
      <c r="B46" s="25" t="s">
        <v>553</v>
      </c>
      <c r="C46" s="26" t="s">
        <v>557</v>
      </c>
      <c r="D46" s="27" t="s">
        <v>558</v>
      </c>
      <c r="E46" s="21" t="n">
        <v>2</v>
      </c>
      <c r="F46" s="22" t="s">
        <v>60</v>
      </c>
      <c r="G46" s="27" t="s">
        <v>559</v>
      </c>
      <c r="H46" s="27" t="s">
        <v>23</v>
      </c>
    </row>
    <row r="47" customFormat="false" ht="30" hidden="false" customHeight="true" outlineLevel="0" collapsed="false">
      <c r="A47" s="18" t="s">
        <v>552</v>
      </c>
      <c r="B47" s="18" t="s">
        <v>553</v>
      </c>
      <c r="C47" s="19" t="s">
        <v>560</v>
      </c>
      <c r="D47" s="20" t="s">
        <v>561</v>
      </c>
      <c r="E47" s="21" t="n">
        <v>2</v>
      </c>
      <c r="F47" s="22" t="s">
        <v>60</v>
      </c>
      <c r="G47" s="20" t="s">
        <v>559</v>
      </c>
      <c r="H47" s="27" t="s">
        <v>23</v>
      </c>
    </row>
    <row r="48" customFormat="false" ht="30" hidden="false" customHeight="true" outlineLevel="0" collapsed="false">
      <c r="A48" s="25" t="s">
        <v>552</v>
      </c>
      <c r="B48" s="25" t="s">
        <v>553</v>
      </c>
      <c r="C48" s="26" t="s">
        <v>562</v>
      </c>
      <c r="D48" s="27" t="s">
        <v>563</v>
      </c>
      <c r="E48" s="31" t="n">
        <v>3</v>
      </c>
      <c r="F48" s="22" t="s">
        <v>60</v>
      </c>
      <c r="G48" s="27" t="s">
        <v>564</v>
      </c>
      <c r="H48" s="27" t="s">
        <v>23</v>
      </c>
    </row>
    <row r="49" customFormat="false" ht="18" hidden="false" customHeight="true" outlineLevel="0" collapsed="false">
      <c r="A49" s="17" t="s">
        <v>565</v>
      </c>
      <c r="B49" s="17" t="s">
        <v>566</v>
      </c>
      <c r="C49" s="17"/>
      <c r="D49" s="17"/>
      <c r="E49" s="17"/>
      <c r="F49" s="17"/>
      <c r="G49" s="17"/>
      <c r="H49" s="17"/>
    </row>
    <row r="50" customFormat="false" ht="30" hidden="false" customHeight="true" outlineLevel="0" collapsed="false">
      <c r="A50" s="18" t="s">
        <v>565</v>
      </c>
      <c r="B50" s="18" t="s">
        <v>566</v>
      </c>
      <c r="C50" s="19" t="s">
        <v>567</v>
      </c>
      <c r="D50" s="20" t="s">
        <v>568</v>
      </c>
      <c r="E50" s="31" t="n">
        <v>3</v>
      </c>
      <c r="F50" s="22" t="s">
        <v>60</v>
      </c>
      <c r="G50" s="20" t="s">
        <v>569</v>
      </c>
      <c r="H50" s="27" t="s">
        <v>23</v>
      </c>
    </row>
    <row r="51" customFormat="false" ht="30" hidden="false" customHeight="true" outlineLevel="0" collapsed="false">
      <c r="A51" s="25" t="s">
        <v>565</v>
      </c>
      <c r="B51" s="25" t="s">
        <v>566</v>
      </c>
      <c r="C51" s="26" t="s">
        <v>570</v>
      </c>
      <c r="D51" s="27" t="s">
        <v>571</v>
      </c>
      <c r="E51" s="31" t="n">
        <v>3</v>
      </c>
      <c r="F51" s="22" t="s">
        <v>60</v>
      </c>
      <c r="G51" s="27" t="s">
        <v>572</v>
      </c>
      <c r="H51" s="27" t="s">
        <v>23</v>
      </c>
    </row>
    <row r="52" customFormat="false" ht="18" hidden="false" customHeight="true" outlineLevel="0" collapsed="false">
      <c r="A52" s="17" t="s">
        <v>573</v>
      </c>
      <c r="B52" s="17" t="s">
        <v>574</v>
      </c>
      <c r="C52" s="17"/>
      <c r="D52" s="17"/>
      <c r="E52" s="17"/>
      <c r="F52" s="17"/>
      <c r="G52" s="17"/>
      <c r="H52" s="17"/>
    </row>
    <row r="53" customFormat="false" ht="30" hidden="false" customHeight="true" outlineLevel="0" collapsed="false">
      <c r="A53" s="18" t="s">
        <v>573</v>
      </c>
      <c r="B53" s="18" t="s">
        <v>574</v>
      </c>
      <c r="C53" s="19" t="s">
        <v>575</v>
      </c>
      <c r="D53" s="20" t="s">
        <v>576</v>
      </c>
      <c r="E53" s="21" t="n">
        <v>2</v>
      </c>
      <c r="F53" s="22" t="s">
        <v>45</v>
      </c>
      <c r="G53" s="20" t="s">
        <v>577</v>
      </c>
      <c r="H53" s="20"/>
    </row>
    <row r="54" customFormat="false" ht="30" hidden="false" customHeight="true" outlineLevel="0" collapsed="false">
      <c r="A54" s="25" t="s">
        <v>573</v>
      </c>
      <c r="B54" s="25" t="s">
        <v>574</v>
      </c>
      <c r="C54" s="26" t="s">
        <v>578</v>
      </c>
      <c r="D54" s="27" t="s">
        <v>579</v>
      </c>
      <c r="E54" s="21" t="n">
        <v>2</v>
      </c>
      <c r="F54" s="22" t="s">
        <v>45</v>
      </c>
      <c r="G54" s="27" t="s">
        <v>580</v>
      </c>
      <c r="H54" s="32" t="s">
        <v>581</v>
      </c>
    </row>
    <row r="55" customFormat="false" ht="30" hidden="false" customHeight="true" outlineLevel="0" collapsed="false">
      <c r="A55" s="18" t="s">
        <v>573</v>
      </c>
      <c r="B55" s="18" t="s">
        <v>574</v>
      </c>
      <c r="C55" s="19" t="s">
        <v>582</v>
      </c>
      <c r="D55" s="20" t="s">
        <v>583</v>
      </c>
      <c r="E55" s="21" t="n">
        <v>2</v>
      </c>
      <c r="F55" s="22" t="s">
        <v>60</v>
      </c>
      <c r="G55" s="20" t="s">
        <v>584</v>
      </c>
      <c r="H55" s="27" t="s">
        <v>23</v>
      </c>
    </row>
    <row r="56" customFormat="false" ht="30" hidden="false" customHeight="true" outlineLevel="0" collapsed="false">
      <c r="A56" s="25" t="s">
        <v>573</v>
      </c>
      <c r="B56" s="25" t="s">
        <v>574</v>
      </c>
      <c r="C56" s="26" t="s">
        <v>585</v>
      </c>
      <c r="D56" s="27" t="s">
        <v>586</v>
      </c>
      <c r="E56" s="21" t="n">
        <v>2</v>
      </c>
      <c r="F56" s="22" t="s">
        <v>60</v>
      </c>
      <c r="G56" s="27" t="s">
        <v>587</v>
      </c>
      <c r="H56" s="27" t="s">
        <v>23</v>
      </c>
    </row>
  </sheetData>
  <conditionalFormatting sqref="F2:F5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5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588</v>
      </c>
      <c r="B2" s="17" t="s">
        <v>589</v>
      </c>
      <c r="C2" s="17"/>
      <c r="D2" s="17"/>
      <c r="E2" s="17"/>
      <c r="F2" s="17"/>
      <c r="G2" s="17"/>
      <c r="H2" s="17"/>
    </row>
    <row r="3" customFormat="false" ht="30" hidden="false" customHeight="true" outlineLevel="0" collapsed="false">
      <c r="A3" s="18" t="s">
        <v>588</v>
      </c>
      <c r="B3" s="18" t="s">
        <v>589</v>
      </c>
      <c r="C3" s="19" t="s">
        <v>590</v>
      </c>
      <c r="D3" s="20" t="s">
        <v>591</v>
      </c>
      <c r="E3" s="21" t="n">
        <v>2</v>
      </c>
      <c r="F3" s="22" t="s">
        <v>181</v>
      </c>
      <c r="G3" s="20"/>
      <c r="H3" s="20"/>
    </row>
    <row r="4" customFormat="false" ht="30" hidden="false" customHeight="true" outlineLevel="0" collapsed="false">
      <c r="A4" s="25" t="s">
        <v>588</v>
      </c>
      <c r="B4" s="25" t="s">
        <v>589</v>
      </c>
      <c r="C4" s="26" t="s">
        <v>592</v>
      </c>
      <c r="D4" s="27" t="s">
        <v>593</v>
      </c>
      <c r="E4" s="21" t="n">
        <v>2</v>
      </c>
      <c r="F4" s="22" t="s">
        <v>181</v>
      </c>
      <c r="G4" s="27"/>
      <c r="H4" s="27"/>
    </row>
    <row r="5" customFormat="false" ht="30" hidden="false" customHeight="true" outlineLevel="0" collapsed="false">
      <c r="A5" s="18" t="s">
        <v>588</v>
      </c>
      <c r="B5" s="18" t="s">
        <v>589</v>
      </c>
      <c r="C5" s="19" t="s">
        <v>594</v>
      </c>
      <c r="D5" s="20" t="s">
        <v>595</v>
      </c>
      <c r="E5" s="21" t="n">
        <v>2</v>
      </c>
      <c r="F5" s="22" t="s">
        <v>181</v>
      </c>
      <c r="G5" s="20"/>
      <c r="H5" s="20"/>
    </row>
    <row r="6" customFormat="false" ht="18" hidden="false" customHeight="true" outlineLevel="0" collapsed="false">
      <c r="A6" s="17" t="s">
        <v>596</v>
      </c>
      <c r="B6" s="17" t="s">
        <v>597</v>
      </c>
      <c r="C6" s="17"/>
      <c r="D6" s="17"/>
      <c r="E6" s="17"/>
      <c r="F6" s="17"/>
      <c r="G6" s="17"/>
      <c r="H6" s="17"/>
    </row>
    <row r="7" customFormat="false" ht="30" hidden="false" customHeight="true" outlineLevel="0" collapsed="false">
      <c r="A7" s="18" t="s">
        <v>596</v>
      </c>
      <c r="B7" s="18" t="s">
        <v>597</v>
      </c>
      <c r="C7" s="19" t="s">
        <v>598</v>
      </c>
      <c r="D7" s="20" t="s">
        <v>599</v>
      </c>
      <c r="E7" s="30" t="n">
        <v>1</v>
      </c>
      <c r="F7" s="22" t="s">
        <v>181</v>
      </c>
      <c r="G7" s="20"/>
      <c r="H7" s="20"/>
    </row>
    <row r="8" customFormat="false" ht="30" hidden="false" customHeight="true" outlineLevel="0" collapsed="false">
      <c r="A8" s="25" t="s">
        <v>596</v>
      </c>
      <c r="B8" s="25" t="s">
        <v>597</v>
      </c>
      <c r="C8" s="26" t="s">
        <v>600</v>
      </c>
      <c r="D8" s="27" t="s">
        <v>601</v>
      </c>
      <c r="E8" s="30" t="n">
        <v>1</v>
      </c>
      <c r="F8" s="22" t="s">
        <v>181</v>
      </c>
      <c r="G8" s="27"/>
      <c r="H8" s="27"/>
    </row>
    <row r="9" customFormat="false" ht="30" hidden="false" customHeight="true" outlineLevel="0" collapsed="false">
      <c r="A9" s="18" t="s">
        <v>596</v>
      </c>
      <c r="B9" s="18" t="s">
        <v>597</v>
      </c>
      <c r="C9" s="19" t="s">
        <v>602</v>
      </c>
      <c r="D9" s="20" t="s">
        <v>603</v>
      </c>
      <c r="E9" s="30" t="n">
        <v>1</v>
      </c>
      <c r="F9" s="22" t="s">
        <v>181</v>
      </c>
      <c r="G9" s="20"/>
      <c r="H9" s="20"/>
    </row>
    <row r="10" customFormat="false" ht="30" hidden="false" customHeight="true" outlineLevel="0" collapsed="false">
      <c r="A10" s="25" t="s">
        <v>596</v>
      </c>
      <c r="B10" s="25" t="s">
        <v>597</v>
      </c>
      <c r="C10" s="26" t="s">
        <v>604</v>
      </c>
      <c r="D10" s="27" t="s">
        <v>605</v>
      </c>
      <c r="E10" s="30" t="n">
        <v>1</v>
      </c>
      <c r="F10" s="22" t="s">
        <v>181</v>
      </c>
      <c r="G10" s="27"/>
      <c r="H10" s="27"/>
    </row>
    <row r="11" customFormat="false" ht="18" hidden="false" customHeight="true" outlineLevel="0" collapsed="false">
      <c r="A11" s="17" t="s">
        <v>606</v>
      </c>
      <c r="B11" s="17" t="s">
        <v>607</v>
      </c>
      <c r="C11" s="17"/>
      <c r="D11" s="17"/>
      <c r="E11" s="17"/>
      <c r="F11" s="17"/>
      <c r="G11" s="17"/>
      <c r="H11" s="17"/>
    </row>
    <row r="12" customFormat="false" ht="30" hidden="false" customHeight="true" outlineLevel="0" collapsed="false">
      <c r="A12" s="18" t="s">
        <v>606</v>
      </c>
      <c r="B12" s="18" t="s">
        <v>607</v>
      </c>
      <c r="C12" s="19" t="s">
        <v>608</v>
      </c>
      <c r="D12" s="20" t="s">
        <v>609</v>
      </c>
      <c r="E12" s="21" t="n">
        <v>2</v>
      </c>
      <c r="F12" s="22" t="s">
        <v>181</v>
      </c>
      <c r="G12" s="20"/>
      <c r="H12" s="20"/>
    </row>
    <row r="13" customFormat="false" ht="30" hidden="false" customHeight="true" outlineLevel="0" collapsed="false">
      <c r="A13" s="25" t="s">
        <v>606</v>
      </c>
      <c r="B13" s="25" t="s">
        <v>607</v>
      </c>
      <c r="C13" s="26" t="s">
        <v>610</v>
      </c>
      <c r="D13" s="27" t="s">
        <v>611</v>
      </c>
      <c r="E13" s="21" t="n">
        <v>2</v>
      </c>
      <c r="F13" s="22" t="s">
        <v>181</v>
      </c>
      <c r="G13" s="27"/>
      <c r="H13" s="27"/>
    </row>
    <row r="14" customFormat="false" ht="18" hidden="false" customHeight="true" outlineLevel="0" collapsed="false">
      <c r="A14" s="17" t="s">
        <v>612</v>
      </c>
      <c r="B14" s="17" t="s">
        <v>613</v>
      </c>
      <c r="C14" s="17"/>
      <c r="D14" s="17"/>
      <c r="E14" s="17"/>
      <c r="F14" s="17"/>
      <c r="G14" s="17"/>
      <c r="H14" s="17"/>
    </row>
    <row r="15" customFormat="false" ht="30" hidden="false" customHeight="true" outlineLevel="0" collapsed="false">
      <c r="A15" s="18" t="s">
        <v>612</v>
      </c>
      <c r="B15" s="18" t="s">
        <v>613</v>
      </c>
      <c r="C15" s="19" t="s">
        <v>614</v>
      </c>
      <c r="D15" s="20" t="s">
        <v>615</v>
      </c>
      <c r="E15" s="30" t="n">
        <v>1</v>
      </c>
      <c r="F15" s="22" t="s">
        <v>181</v>
      </c>
      <c r="G15" s="20"/>
      <c r="H15" s="20"/>
    </row>
    <row r="16" customFormat="false" ht="30" hidden="false" customHeight="true" outlineLevel="0" collapsed="false">
      <c r="A16" s="25" t="s">
        <v>612</v>
      </c>
      <c r="B16" s="25" t="s">
        <v>613</v>
      </c>
      <c r="C16" s="26" t="s">
        <v>616</v>
      </c>
      <c r="D16" s="27" t="s">
        <v>617</v>
      </c>
      <c r="E16" s="30" t="n">
        <v>1</v>
      </c>
      <c r="F16" s="22" t="s">
        <v>181</v>
      </c>
      <c r="G16" s="27"/>
      <c r="H16" s="27"/>
    </row>
    <row r="17" customFormat="false" ht="30" hidden="false" customHeight="true" outlineLevel="0" collapsed="false">
      <c r="A17" s="18" t="s">
        <v>612</v>
      </c>
      <c r="B17" s="18" t="s">
        <v>613</v>
      </c>
      <c r="C17" s="19" t="s">
        <v>618</v>
      </c>
      <c r="D17" s="20" t="s">
        <v>619</v>
      </c>
      <c r="E17" s="21" t="n">
        <v>2</v>
      </c>
      <c r="F17" s="22" t="s">
        <v>181</v>
      </c>
      <c r="G17" s="20"/>
      <c r="H17" s="20"/>
    </row>
    <row r="18" customFormat="false" ht="30" hidden="false" customHeight="true" outlineLevel="0" collapsed="false">
      <c r="A18" s="25" t="s">
        <v>612</v>
      </c>
      <c r="B18" s="25" t="s">
        <v>613</v>
      </c>
      <c r="C18" s="26" t="s">
        <v>620</v>
      </c>
      <c r="D18" s="27" t="s">
        <v>621</v>
      </c>
      <c r="E18" s="21" t="n">
        <v>2</v>
      </c>
      <c r="F18" s="22" t="s">
        <v>181</v>
      </c>
      <c r="G18" s="27"/>
      <c r="H18" s="27"/>
    </row>
    <row r="19" customFormat="false" ht="30" hidden="false" customHeight="true" outlineLevel="0" collapsed="false">
      <c r="A19" s="18" t="s">
        <v>612</v>
      </c>
      <c r="B19" s="18" t="s">
        <v>613</v>
      </c>
      <c r="C19" s="19" t="s">
        <v>622</v>
      </c>
      <c r="D19" s="20" t="s">
        <v>623</v>
      </c>
      <c r="E19" s="21" t="n">
        <v>2</v>
      </c>
      <c r="F19" s="22" t="s">
        <v>181</v>
      </c>
      <c r="G19" s="20"/>
      <c r="H19" s="20"/>
    </row>
    <row r="20" customFormat="false" ht="18" hidden="false" customHeight="true" outlineLevel="0" collapsed="false">
      <c r="A20" s="17" t="s">
        <v>624</v>
      </c>
      <c r="B20" s="17" t="s">
        <v>625</v>
      </c>
      <c r="C20" s="17"/>
      <c r="D20" s="17"/>
      <c r="E20" s="17"/>
      <c r="F20" s="17"/>
      <c r="G20" s="17"/>
      <c r="H20" s="17"/>
    </row>
    <row r="21" customFormat="false" ht="30" hidden="false" customHeight="true" outlineLevel="0" collapsed="false">
      <c r="A21" s="18" t="s">
        <v>624</v>
      </c>
      <c r="B21" s="18" t="s">
        <v>625</v>
      </c>
      <c r="C21" s="19" t="s">
        <v>626</v>
      </c>
      <c r="D21" s="20" t="s">
        <v>627</v>
      </c>
      <c r="E21" s="21" t="n">
        <v>2</v>
      </c>
      <c r="F21" s="22" t="s">
        <v>181</v>
      </c>
      <c r="G21" s="20"/>
      <c r="H21" s="20"/>
    </row>
    <row r="22" customFormat="false" ht="30" hidden="false" customHeight="true" outlineLevel="0" collapsed="false">
      <c r="A22" s="25" t="s">
        <v>624</v>
      </c>
      <c r="B22" s="25" t="s">
        <v>625</v>
      </c>
      <c r="C22" s="26" t="s">
        <v>628</v>
      </c>
      <c r="D22" s="27" t="s">
        <v>629</v>
      </c>
      <c r="E22" s="21" t="n">
        <v>2</v>
      </c>
      <c r="F22" s="22" t="s">
        <v>181</v>
      </c>
      <c r="G22" s="27"/>
      <c r="H22" s="27"/>
    </row>
    <row r="23" customFormat="false" ht="30" hidden="false" customHeight="true" outlineLevel="0" collapsed="false">
      <c r="A23" s="18" t="s">
        <v>624</v>
      </c>
      <c r="B23" s="18" t="s">
        <v>625</v>
      </c>
      <c r="C23" s="19" t="s">
        <v>630</v>
      </c>
      <c r="D23" s="20" t="s">
        <v>631</v>
      </c>
      <c r="E23" s="31" t="n">
        <v>3</v>
      </c>
      <c r="F23" s="22" t="s">
        <v>181</v>
      </c>
      <c r="G23" s="20"/>
      <c r="H23" s="20"/>
    </row>
    <row r="24" customFormat="false" ht="18" hidden="false" customHeight="true" outlineLevel="0" collapsed="false">
      <c r="A24" s="17" t="s">
        <v>632</v>
      </c>
      <c r="B24" s="17" t="s">
        <v>633</v>
      </c>
      <c r="C24" s="17"/>
      <c r="D24" s="17"/>
      <c r="E24" s="17"/>
      <c r="F24" s="17"/>
      <c r="G24" s="17"/>
      <c r="H24" s="17"/>
    </row>
    <row r="25" customFormat="false" ht="30" hidden="false" customHeight="true" outlineLevel="0" collapsed="false">
      <c r="A25" s="18" t="s">
        <v>632</v>
      </c>
      <c r="B25" s="18" t="s">
        <v>633</v>
      </c>
      <c r="C25" s="19" t="s">
        <v>634</v>
      </c>
      <c r="D25" s="20" t="s">
        <v>635</v>
      </c>
      <c r="E25" s="21" t="n">
        <v>2</v>
      </c>
      <c r="F25" s="22" t="s">
        <v>181</v>
      </c>
      <c r="G25" s="20"/>
      <c r="H25" s="20"/>
    </row>
    <row r="26" customFormat="false" ht="30" hidden="false" customHeight="true" outlineLevel="0" collapsed="false">
      <c r="A26" s="25" t="s">
        <v>632</v>
      </c>
      <c r="B26" s="25" t="s">
        <v>633</v>
      </c>
      <c r="C26" s="26" t="s">
        <v>636</v>
      </c>
      <c r="D26" s="27" t="s">
        <v>637</v>
      </c>
      <c r="E26" s="21" t="n">
        <v>2</v>
      </c>
      <c r="F26" s="22" t="s">
        <v>181</v>
      </c>
      <c r="G26" s="27"/>
      <c r="H26" s="27"/>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638</v>
      </c>
      <c r="B2" s="17" t="s">
        <v>639</v>
      </c>
      <c r="C2" s="17"/>
      <c r="D2" s="17"/>
      <c r="E2" s="17"/>
      <c r="F2" s="17"/>
      <c r="G2" s="17"/>
      <c r="H2" s="17"/>
    </row>
    <row r="3" customFormat="false" ht="30" hidden="false" customHeight="true" outlineLevel="0" collapsed="false">
      <c r="A3" s="18" t="s">
        <v>638</v>
      </c>
      <c r="B3" s="18" t="s">
        <v>639</v>
      </c>
      <c r="C3" s="19" t="s">
        <v>640</v>
      </c>
      <c r="D3" s="20" t="s">
        <v>641</v>
      </c>
      <c r="E3" s="30" t="n">
        <v>1</v>
      </c>
      <c r="F3" s="22" t="s">
        <v>181</v>
      </c>
      <c r="G3" s="20"/>
      <c r="H3" s="20"/>
    </row>
    <row r="4" customFormat="false" ht="30" hidden="false" customHeight="true" outlineLevel="0" collapsed="false">
      <c r="A4" s="25" t="s">
        <v>638</v>
      </c>
      <c r="B4" s="25" t="s">
        <v>639</v>
      </c>
      <c r="C4" s="26" t="s">
        <v>642</v>
      </c>
      <c r="D4" s="27" t="s">
        <v>643</v>
      </c>
      <c r="E4" s="21" t="n">
        <v>2</v>
      </c>
      <c r="F4" s="22" t="s">
        <v>181</v>
      </c>
      <c r="G4" s="27"/>
      <c r="H4" s="27"/>
    </row>
    <row r="5" customFormat="false" ht="30" hidden="false" customHeight="true" outlineLevel="0" collapsed="false">
      <c r="A5" s="18" t="s">
        <v>638</v>
      </c>
      <c r="B5" s="18" t="s">
        <v>639</v>
      </c>
      <c r="C5" s="19" t="s">
        <v>644</v>
      </c>
      <c r="D5" s="20" t="s">
        <v>645</v>
      </c>
      <c r="E5" s="31" t="n">
        <v>3</v>
      </c>
      <c r="F5" s="22" t="s">
        <v>181</v>
      </c>
      <c r="G5" s="20"/>
      <c r="H5" s="20"/>
    </row>
    <row r="6" customFormat="false" ht="30" hidden="false" customHeight="true" outlineLevel="0" collapsed="false">
      <c r="A6" s="25" t="s">
        <v>638</v>
      </c>
      <c r="B6" s="25" t="s">
        <v>639</v>
      </c>
      <c r="C6" s="26" t="s">
        <v>646</v>
      </c>
      <c r="D6" s="27" t="s">
        <v>647</v>
      </c>
      <c r="E6" s="31" t="n">
        <v>3</v>
      </c>
      <c r="F6" s="22" t="s">
        <v>181</v>
      </c>
      <c r="G6" s="27"/>
      <c r="H6" s="27"/>
    </row>
    <row r="7" customFormat="false" ht="18" hidden="false" customHeight="true" outlineLevel="0" collapsed="false">
      <c r="A7" s="17" t="s">
        <v>648</v>
      </c>
      <c r="B7" s="17" t="s">
        <v>649</v>
      </c>
      <c r="C7" s="17"/>
      <c r="D7" s="17"/>
      <c r="E7" s="17"/>
      <c r="F7" s="17"/>
      <c r="G7" s="17"/>
      <c r="H7" s="17"/>
    </row>
    <row r="8" customFormat="false" ht="30" hidden="false" customHeight="true" outlineLevel="0" collapsed="false">
      <c r="A8" s="18" t="s">
        <v>648</v>
      </c>
      <c r="B8" s="18" t="s">
        <v>649</v>
      </c>
      <c r="C8" s="19" t="s">
        <v>650</v>
      </c>
      <c r="D8" s="20" t="s">
        <v>651</v>
      </c>
      <c r="E8" s="30" t="n">
        <v>1</v>
      </c>
      <c r="F8" s="22" t="s">
        <v>181</v>
      </c>
      <c r="G8" s="20"/>
      <c r="H8" s="20"/>
    </row>
    <row r="9" customFormat="false" ht="30" hidden="false" customHeight="true" outlineLevel="0" collapsed="false">
      <c r="A9" s="25" t="s">
        <v>648</v>
      </c>
      <c r="B9" s="25" t="s">
        <v>649</v>
      </c>
      <c r="C9" s="26" t="s">
        <v>652</v>
      </c>
      <c r="D9" s="27" t="s">
        <v>653</v>
      </c>
      <c r="E9" s="30" t="n">
        <v>1</v>
      </c>
      <c r="F9" s="22" t="s">
        <v>181</v>
      </c>
      <c r="G9" s="27"/>
      <c r="H9" s="27"/>
    </row>
    <row r="10" customFormat="false" ht="30" hidden="false" customHeight="true" outlineLevel="0" collapsed="false">
      <c r="A10" s="18" t="s">
        <v>648</v>
      </c>
      <c r="B10" s="18" t="s">
        <v>649</v>
      </c>
      <c r="C10" s="19" t="s">
        <v>654</v>
      </c>
      <c r="D10" s="20" t="s">
        <v>655</v>
      </c>
      <c r="E10" s="21" t="n">
        <v>2</v>
      </c>
      <c r="F10" s="22" t="s">
        <v>181</v>
      </c>
      <c r="G10" s="20"/>
      <c r="H10" s="20"/>
    </row>
    <row r="11" customFormat="false" ht="30" hidden="false" customHeight="true" outlineLevel="0" collapsed="false">
      <c r="A11" s="25" t="s">
        <v>648</v>
      </c>
      <c r="B11" s="25" t="s">
        <v>649</v>
      </c>
      <c r="C11" s="26" t="s">
        <v>656</v>
      </c>
      <c r="D11" s="27" t="s">
        <v>657</v>
      </c>
      <c r="E11" s="31" t="n">
        <v>3</v>
      </c>
      <c r="F11" s="22" t="s">
        <v>181</v>
      </c>
      <c r="G11" s="27"/>
      <c r="H11" s="27"/>
    </row>
    <row r="12" customFormat="false" ht="18" hidden="false" customHeight="true" outlineLevel="0" collapsed="false">
      <c r="A12" s="17" t="s">
        <v>658</v>
      </c>
      <c r="B12" s="17" t="s">
        <v>659</v>
      </c>
      <c r="C12" s="17"/>
      <c r="D12" s="17"/>
      <c r="E12" s="17"/>
      <c r="F12" s="17"/>
      <c r="G12" s="17"/>
      <c r="H12" s="17"/>
    </row>
    <row r="13" customFormat="false" ht="30" hidden="false" customHeight="true" outlineLevel="0" collapsed="false">
      <c r="A13" s="18" t="s">
        <v>658</v>
      </c>
      <c r="B13" s="18" t="s">
        <v>659</v>
      </c>
      <c r="C13" s="19" t="s">
        <v>660</v>
      </c>
      <c r="D13" s="20" t="s">
        <v>661</v>
      </c>
      <c r="E13" s="30" t="n">
        <v>1</v>
      </c>
      <c r="F13" s="22" t="s">
        <v>181</v>
      </c>
      <c r="G13" s="20"/>
      <c r="H13" s="20"/>
    </row>
    <row r="14" customFormat="false" ht="30" hidden="false" customHeight="true" outlineLevel="0" collapsed="false">
      <c r="A14" s="25" t="s">
        <v>658</v>
      </c>
      <c r="B14" s="25" t="s">
        <v>659</v>
      </c>
      <c r="C14" s="26" t="s">
        <v>662</v>
      </c>
      <c r="D14" s="27" t="s">
        <v>663</v>
      </c>
      <c r="E14" s="31" t="n">
        <v>3</v>
      </c>
      <c r="F14" s="22" t="s">
        <v>181</v>
      </c>
      <c r="G14" s="27"/>
      <c r="H14" s="27"/>
    </row>
    <row r="15" customFormat="false" ht="30" hidden="false" customHeight="true" outlineLevel="0" collapsed="false">
      <c r="A15" s="18" t="s">
        <v>658</v>
      </c>
      <c r="B15" s="18" t="s">
        <v>659</v>
      </c>
      <c r="C15" s="19" t="s">
        <v>664</v>
      </c>
      <c r="D15" s="20" t="s">
        <v>665</v>
      </c>
      <c r="E15" s="31" t="n">
        <v>3</v>
      </c>
      <c r="F15" s="22" t="s">
        <v>181</v>
      </c>
      <c r="G15" s="20"/>
      <c r="H15" s="20"/>
    </row>
    <row r="16" customFormat="false" ht="18" hidden="false" customHeight="true" outlineLevel="0" collapsed="false">
      <c r="A16" s="17" t="s">
        <v>666</v>
      </c>
      <c r="B16" s="17" t="s">
        <v>667</v>
      </c>
      <c r="C16" s="17"/>
      <c r="D16" s="17"/>
      <c r="E16" s="17"/>
      <c r="F16" s="17"/>
      <c r="G16" s="17"/>
      <c r="H16" s="17"/>
    </row>
    <row r="17" customFormat="false" ht="30" hidden="false" customHeight="true" outlineLevel="0" collapsed="false">
      <c r="A17" s="18" t="s">
        <v>666</v>
      </c>
      <c r="B17" s="18" t="s">
        <v>667</v>
      </c>
      <c r="C17" s="19" t="s">
        <v>668</v>
      </c>
      <c r="D17" s="20" t="s">
        <v>669</v>
      </c>
      <c r="E17" s="21" t="n">
        <v>2</v>
      </c>
      <c r="F17" s="22" t="s">
        <v>181</v>
      </c>
      <c r="G17" s="20"/>
      <c r="H17" s="20"/>
    </row>
    <row r="18" customFormat="false" ht="30" hidden="false" customHeight="true" outlineLevel="0" collapsed="false">
      <c r="A18" s="25" t="s">
        <v>666</v>
      </c>
      <c r="B18" s="25" t="s">
        <v>667</v>
      </c>
      <c r="C18" s="26" t="s">
        <v>670</v>
      </c>
      <c r="D18" s="27" t="s">
        <v>671</v>
      </c>
      <c r="E18" s="31" t="n">
        <v>3</v>
      </c>
      <c r="F18" s="22" t="s">
        <v>181</v>
      </c>
      <c r="G18" s="27"/>
      <c r="H18" s="27"/>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672</v>
      </c>
      <c r="B2" s="17" t="s">
        <v>673</v>
      </c>
      <c r="C2" s="17"/>
      <c r="D2" s="17"/>
      <c r="E2" s="17"/>
      <c r="F2" s="17"/>
      <c r="G2" s="17"/>
      <c r="H2" s="17"/>
    </row>
    <row r="3" customFormat="false" ht="30" hidden="false" customHeight="true" outlineLevel="0" collapsed="false">
      <c r="A3" s="18" t="s">
        <v>672</v>
      </c>
      <c r="B3" s="18" t="s">
        <v>673</v>
      </c>
      <c r="C3" s="19" t="s">
        <v>674</v>
      </c>
      <c r="D3" s="20" t="s">
        <v>675</v>
      </c>
      <c r="E3" s="30" t="n">
        <v>1</v>
      </c>
      <c r="F3" s="22" t="s">
        <v>181</v>
      </c>
      <c r="G3" s="20"/>
      <c r="H3" s="20"/>
    </row>
    <row r="4" customFormat="false" ht="30" hidden="false" customHeight="true" outlineLevel="0" collapsed="false">
      <c r="A4" s="25" t="s">
        <v>672</v>
      </c>
      <c r="B4" s="25" t="s">
        <v>673</v>
      </c>
      <c r="C4" s="26" t="s">
        <v>676</v>
      </c>
      <c r="D4" s="27" t="s">
        <v>677</v>
      </c>
      <c r="E4" s="30" t="n">
        <v>1</v>
      </c>
      <c r="F4" s="22" t="s">
        <v>181</v>
      </c>
      <c r="G4" s="27"/>
      <c r="H4" s="27"/>
    </row>
    <row r="5" customFormat="false" ht="30" hidden="false" customHeight="true" outlineLevel="0" collapsed="false">
      <c r="A5" s="18" t="s">
        <v>672</v>
      </c>
      <c r="B5" s="18" t="s">
        <v>673</v>
      </c>
      <c r="C5" s="19" t="s">
        <v>678</v>
      </c>
      <c r="D5" s="20" t="s">
        <v>679</v>
      </c>
      <c r="E5" s="30" t="n">
        <v>1</v>
      </c>
      <c r="F5" s="22" t="s">
        <v>181</v>
      </c>
      <c r="G5" s="20"/>
      <c r="H5" s="20"/>
    </row>
    <row r="6" customFormat="false" ht="18" hidden="false" customHeight="true" outlineLevel="0" collapsed="false">
      <c r="A6" s="17" t="s">
        <v>680</v>
      </c>
      <c r="B6" s="17" t="s">
        <v>681</v>
      </c>
      <c r="C6" s="17"/>
      <c r="D6" s="17"/>
      <c r="E6" s="17"/>
      <c r="F6" s="17"/>
      <c r="G6" s="17"/>
      <c r="H6" s="17"/>
    </row>
    <row r="7" customFormat="false" ht="30" hidden="false" customHeight="true" outlineLevel="0" collapsed="false">
      <c r="A7" s="18" t="s">
        <v>680</v>
      </c>
      <c r="B7" s="18" t="s">
        <v>681</v>
      </c>
      <c r="C7" s="19" t="s">
        <v>682</v>
      </c>
      <c r="D7" s="20" t="s">
        <v>683</v>
      </c>
      <c r="E7" s="30" t="n">
        <v>1</v>
      </c>
      <c r="F7" s="22" t="s">
        <v>181</v>
      </c>
      <c r="G7" s="20"/>
      <c r="H7" s="20"/>
    </row>
    <row r="8" customFormat="false" ht="30" hidden="false" customHeight="true" outlineLevel="0" collapsed="false">
      <c r="A8" s="25" t="s">
        <v>680</v>
      </c>
      <c r="B8" s="25" t="s">
        <v>681</v>
      </c>
      <c r="C8" s="26" t="s">
        <v>684</v>
      </c>
      <c r="D8" s="27" t="s">
        <v>685</v>
      </c>
      <c r="E8" s="21" t="n">
        <v>2</v>
      </c>
      <c r="F8" s="22" t="s">
        <v>181</v>
      </c>
      <c r="G8" s="27"/>
      <c r="H8" s="27"/>
    </row>
    <row r="9" customFormat="false" ht="30" hidden="false" customHeight="true" outlineLevel="0" collapsed="false">
      <c r="A9" s="18" t="s">
        <v>680</v>
      </c>
      <c r="B9" s="18" t="s">
        <v>681</v>
      </c>
      <c r="C9" s="19" t="s">
        <v>686</v>
      </c>
      <c r="D9" s="20" t="s">
        <v>687</v>
      </c>
      <c r="E9" s="21" t="n">
        <v>2</v>
      </c>
      <c r="F9" s="22" t="s">
        <v>181</v>
      </c>
      <c r="G9" s="20"/>
      <c r="H9" s="20"/>
    </row>
    <row r="10" customFormat="false" ht="30" hidden="false" customHeight="true" outlineLevel="0" collapsed="false">
      <c r="A10" s="25" t="s">
        <v>680</v>
      </c>
      <c r="B10" s="25" t="s">
        <v>681</v>
      </c>
      <c r="C10" s="26" t="s">
        <v>688</v>
      </c>
      <c r="D10" s="27" t="s">
        <v>689</v>
      </c>
      <c r="E10" s="21" t="n">
        <v>2</v>
      </c>
      <c r="F10" s="22" t="s">
        <v>181</v>
      </c>
      <c r="G10" s="27"/>
      <c r="H10" s="27"/>
    </row>
  </sheetData>
  <conditionalFormatting sqref="F2:F10">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0"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690</v>
      </c>
      <c r="B2" s="17" t="s">
        <v>691</v>
      </c>
      <c r="C2" s="17"/>
      <c r="D2" s="17"/>
      <c r="E2" s="17"/>
      <c r="F2" s="17"/>
      <c r="G2" s="17"/>
      <c r="H2" s="17"/>
    </row>
    <row r="3" customFormat="false" ht="30" hidden="false" customHeight="true" outlineLevel="0" collapsed="false">
      <c r="A3" s="18" t="s">
        <v>690</v>
      </c>
      <c r="B3" s="18" t="s">
        <v>691</v>
      </c>
      <c r="C3" s="19" t="s">
        <v>692</v>
      </c>
      <c r="D3" s="20" t="s">
        <v>693</v>
      </c>
      <c r="E3" s="21" t="n">
        <v>2</v>
      </c>
      <c r="F3" s="22" t="s">
        <v>181</v>
      </c>
      <c r="G3" s="20"/>
      <c r="H3" s="20"/>
    </row>
    <row r="4" customFormat="false" ht="30" hidden="false" customHeight="true" outlineLevel="0" collapsed="false">
      <c r="A4" s="25" t="s">
        <v>690</v>
      </c>
      <c r="B4" s="25" t="s">
        <v>691</v>
      </c>
      <c r="C4" s="26" t="s">
        <v>694</v>
      </c>
      <c r="D4" s="27" t="s">
        <v>695</v>
      </c>
      <c r="E4" s="21" t="n">
        <v>2</v>
      </c>
      <c r="F4" s="22" t="s">
        <v>181</v>
      </c>
      <c r="G4" s="27"/>
      <c r="H4" s="27"/>
    </row>
    <row r="5" customFormat="false" ht="18" hidden="false" customHeight="true" outlineLevel="0" collapsed="false">
      <c r="A5" s="17" t="s">
        <v>696</v>
      </c>
      <c r="B5" s="17" t="s">
        <v>697</v>
      </c>
      <c r="C5" s="17"/>
      <c r="D5" s="17"/>
      <c r="E5" s="17"/>
      <c r="F5" s="17"/>
      <c r="G5" s="17"/>
      <c r="H5" s="17"/>
    </row>
    <row r="6" customFormat="false" ht="30" hidden="false" customHeight="true" outlineLevel="0" collapsed="false">
      <c r="A6" s="18" t="s">
        <v>696</v>
      </c>
      <c r="B6" s="18" t="s">
        <v>697</v>
      </c>
      <c r="C6" s="19" t="s">
        <v>698</v>
      </c>
      <c r="D6" s="20" t="s">
        <v>699</v>
      </c>
      <c r="E6" s="21" t="n">
        <v>2</v>
      </c>
      <c r="F6" s="22" t="s">
        <v>181</v>
      </c>
      <c r="G6" s="20"/>
      <c r="H6" s="20"/>
    </row>
    <row r="7" customFormat="false" ht="30" hidden="false" customHeight="true" outlineLevel="0" collapsed="false">
      <c r="A7" s="25" t="s">
        <v>696</v>
      </c>
      <c r="B7" s="25" t="s">
        <v>697</v>
      </c>
      <c r="C7" s="26" t="s">
        <v>700</v>
      </c>
      <c r="D7" s="27" t="s">
        <v>701</v>
      </c>
      <c r="E7" s="21" t="n">
        <v>2</v>
      </c>
      <c r="F7" s="22" t="s">
        <v>181</v>
      </c>
      <c r="G7" s="27"/>
      <c r="H7" s="27"/>
    </row>
    <row r="8" customFormat="false" ht="30" hidden="false" customHeight="true" outlineLevel="0" collapsed="false">
      <c r="A8" s="18" t="s">
        <v>696</v>
      </c>
      <c r="B8" s="18" t="s">
        <v>697</v>
      </c>
      <c r="C8" s="19" t="s">
        <v>702</v>
      </c>
      <c r="D8" s="20" t="s">
        <v>703</v>
      </c>
      <c r="E8" s="31" t="n">
        <v>3</v>
      </c>
      <c r="F8" s="22" t="s">
        <v>181</v>
      </c>
      <c r="G8" s="20"/>
      <c r="H8" s="20"/>
    </row>
    <row r="9" customFormat="false" ht="18" hidden="false" customHeight="true" outlineLevel="0" collapsed="false">
      <c r="A9" s="17" t="s">
        <v>704</v>
      </c>
      <c r="B9" s="17" t="s">
        <v>705</v>
      </c>
      <c r="C9" s="17"/>
      <c r="D9" s="17"/>
      <c r="E9" s="17"/>
      <c r="F9" s="17"/>
      <c r="G9" s="17"/>
      <c r="H9" s="17"/>
    </row>
    <row r="10" customFormat="false" ht="30" hidden="false" customHeight="true" outlineLevel="0" collapsed="false">
      <c r="A10" s="18" t="s">
        <v>704</v>
      </c>
      <c r="B10" s="18" t="s">
        <v>705</v>
      </c>
      <c r="C10" s="19" t="s">
        <v>706</v>
      </c>
      <c r="D10" s="20" t="s">
        <v>707</v>
      </c>
      <c r="E10" s="21" t="n">
        <v>2</v>
      </c>
      <c r="F10" s="22" t="s">
        <v>181</v>
      </c>
      <c r="G10" s="20"/>
      <c r="H10" s="20"/>
    </row>
    <row r="11" customFormat="false" ht="30" hidden="false" customHeight="true" outlineLevel="0" collapsed="false">
      <c r="A11" s="25" t="s">
        <v>704</v>
      </c>
      <c r="B11" s="25" t="s">
        <v>705</v>
      </c>
      <c r="C11" s="26" t="s">
        <v>708</v>
      </c>
      <c r="D11" s="27" t="s">
        <v>709</v>
      </c>
      <c r="E11" s="21" t="n">
        <v>2</v>
      </c>
      <c r="F11" s="22" t="s">
        <v>181</v>
      </c>
      <c r="G11" s="27"/>
      <c r="H11" s="27"/>
    </row>
    <row r="12" customFormat="false" ht="30" hidden="false" customHeight="true" outlineLevel="0" collapsed="false">
      <c r="A12" s="18" t="s">
        <v>704</v>
      </c>
      <c r="B12" s="18" t="s">
        <v>705</v>
      </c>
      <c r="C12" s="19" t="s">
        <v>710</v>
      </c>
      <c r="D12" s="20" t="s">
        <v>711</v>
      </c>
      <c r="E12" s="21" t="n">
        <v>2</v>
      </c>
      <c r="F12" s="22" t="s">
        <v>181</v>
      </c>
      <c r="G12" s="20"/>
      <c r="H12" s="20"/>
    </row>
    <row r="13" customFormat="false" ht="30" hidden="false" customHeight="true" outlineLevel="0" collapsed="false">
      <c r="A13" s="25" t="s">
        <v>704</v>
      </c>
      <c r="B13" s="25" t="s">
        <v>705</v>
      </c>
      <c r="C13" s="26" t="s">
        <v>712</v>
      </c>
      <c r="D13" s="27" t="s">
        <v>713</v>
      </c>
      <c r="E13" s="21" t="n">
        <v>2</v>
      </c>
      <c r="F13" s="22" t="s">
        <v>181</v>
      </c>
      <c r="G13" s="27"/>
      <c r="H13" s="27"/>
    </row>
    <row r="14" customFormat="false" ht="30" hidden="false" customHeight="true" outlineLevel="0" collapsed="false">
      <c r="A14" s="18" t="s">
        <v>704</v>
      </c>
      <c r="B14" s="18" t="s">
        <v>705</v>
      </c>
      <c r="C14" s="19" t="s">
        <v>714</v>
      </c>
      <c r="D14" s="20" t="s">
        <v>715</v>
      </c>
      <c r="E14" s="31" t="n">
        <v>3</v>
      </c>
      <c r="F14" s="22" t="s">
        <v>181</v>
      </c>
      <c r="G14" s="20"/>
      <c r="H14" s="20"/>
    </row>
    <row r="15" customFormat="false" ht="18" hidden="false" customHeight="true" outlineLevel="0" collapsed="false">
      <c r="A15" s="17" t="s">
        <v>716</v>
      </c>
      <c r="B15" s="17" t="s">
        <v>717</v>
      </c>
      <c r="C15" s="17"/>
      <c r="D15" s="17"/>
      <c r="E15" s="17"/>
      <c r="F15" s="17"/>
      <c r="G15" s="17"/>
      <c r="H15" s="17"/>
    </row>
    <row r="16" customFormat="false" ht="30" hidden="false" customHeight="true" outlineLevel="0" collapsed="false">
      <c r="A16" s="18" t="s">
        <v>716</v>
      </c>
      <c r="B16" s="18" t="s">
        <v>717</v>
      </c>
      <c r="C16" s="19" t="s">
        <v>718</v>
      </c>
      <c r="D16" s="20" t="s">
        <v>719</v>
      </c>
      <c r="E16" s="30" t="n">
        <v>1</v>
      </c>
      <c r="F16" s="22" t="s">
        <v>181</v>
      </c>
      <c r="G16" s="20"/>
      <c r="H16" s="20"/>
    </row>
    <row r="17" customFormat="false" ht="30" hidden="false" customHeight="true" outlineLevel="0" collapsed="false">
      <c r="A17" s="25" t="s">
        <v>716</v>
      </c>
      <c r="B17" s="25" t="s">
        <v>717</v>
      </c>
      <c r="C17" s="26" t="s">
        <v>720</v>
      </c>
      <c r="D17" s="27" t="s">
        <v>721</v>
      </c>
      <c r="E17" s="30" t="n">
        <v>1</v>
      </c>
      <c r="F17" s="22" t="s">
        <v>181</v>
      </c>
      <c r="G17" s="27"/>
      <c r="H17" s="27"/>
    </row>
    <row r="18" customFormat="false" ht="30" hidden="false" customHeight="true" outlineLevel="0" collapsed="false">
      <c r="A18" s="18" t="s">
        <v>716</v>
      </c>
      <c r="B18" s="18" t="s">
        <v>717</v>
      </c>
      <c r="C18" s="19" t="s">
        <v>722</v>
      </c>
      <c r="D18" s="20" t="s">
        <v>723</v>
      </c>
      <c r="E18" s="30" t="n">
        <v>1</v>
      </c>
      <c r="F18" s="22" t="s">
        <v>181</v>
      </c>
      <c r="G18" s="20"/>
      <c r="H18" s="20"/>
    </row>
    <row r="19" customFormat="false" ht="30" hidden="false" customHeight="true" outlineLevel="0" collapsed="false">
      <c r="A19" s="25" t="s">
        <v>716</v>
      </c>
      <c r="B19" s="25" t="s">
        <v>717</v>
      </c>
      <c r="C19" s="26" t="s">
        <v>724</v>
      </c>
      <c r="D19" s="27" t="s">
        <v>725</v>
      </c>
      <c r="E19" s="30" t="n">
        <v>1</v>
      </c>
      <c r="F19" s="22" t="s">
        <v>181</v>
      </c>
      <c r="G19" s="27"/>
      <c r="H19" s="27"/>
    </row>
    <row r="20" customFormat="false" ht="30" hidden="false" customHeight="true" outlineLevel="0" collapsed="false">
      <c r="A20" s="18" t="s">
        <v>716</v>
      </c>
      <c r="B20" s="18" t="s">
        <v>717</v>
      </c>
      <c r="C20" s="19" t="s">
        <v>726</v>
      </c>
      <c r="D20" s="20" t="s">
        <v>727</v>
      </c>
      <c r="E20" s="30" t="n">
        <v>1</v>
      </c>
      <c r="F20" s="22" t="s">
        <v>181</v>
      </c>
      <c r="G20" s="20"/>
      <c r="H20" s="20"/>
    </row>
    <row r="21" customFormat="false" ht="30" hidden="false" customHeight="true" outlineLevel="0" collapsed="false">
      <c r="A21" s="25" t="s">
        <v>716</v>
      </c>
      <c r="B21" s="25" t="s">
        <v>717</v>
      </c>
      <c r="C21" s="26" t="s">
        <v>728</v>
      </c>
      <c r="D21" s="27" t="s">
        <v>729</v>
      </c>
      <c r="E21" s="21" t="n">
        <v>2</v>
      </c>
      <c r="F21" s="22" t="s">
        <v>181</v>
      </c>
      <c r="G21" s="27"/>
      <c r="H21" s="27"/>
    </row>
    <row r="22" customFormat="false" ht="30" hidden="false" customHeight="true" outlineLevel="0" collapsed="false">
      <c r="A22" s="18" t="s">
        <v>716</v>
      </c>
      <c r="B22" s="18" t="s">
        <v>717</v>
      </c>
      <c r="C22" s="19" t="s">
        <v>730</v>
      </c>
      <c r="D22" s="20" t="s">
        <v>731</v>
      </c>
      <c r="E22" s="21" t="n">
        <v>2</v>
      </c>
      <c r="F22" s="22" t="s">
        <v>181</v>
      </c>
      <c r="G22" s="20"/>
      <c r="H22" s="20"/>
    </row>
    <row r="23" customFormat="false" ht="30" hidden="false" customHeight="true" outlineLevel="0" collapsed="false">
      <c r="A23" s="25" t="s">
        <v>716</v>
      </c>
      <c r="B23" s="25" t="s">
        <v>717</v>
      </c>
      <c r="C23" s="26" t="s">
        <v>732</v>
      </c>
      <c r="D23" s="27" t="s">
        <v>733</v>
      </c>
      <c r="E23" s="21" t="n">
        <v>2</v>
      </c>
      <c r="F23" s="22" t="s">
        <v>181</v>
      </c>
      <c r="G23" s="27"/>
      <c r="H23" s="27"/>
    </row>
    <row r="24" customFormat="false" ht="30" hidden="false" customHeight="true" outlineLevel="0" collapsed="false">
      <c r="A24" s="18" t="s">
        <v>716</v>
      </c>
      <c r="B24" s="18" t="s">
        <v>717</v>
      </c>
      <c r="C24" s="19" t="s">
        <v>734</v>
      </c>
      <c r="D24" s="20" t="s">
        <v>735</v>
      </c>
      <c r="E24" s="21" t="n">
        <v>2</v>
      </c>
      <c r="F24" s="22" t="s">
        <v>181</v>
      </c>
      <c r="G24" s="20"/>
      <c r="H24" s="20"/>
    </row>
    <row r="25" customFormat="false" ht="30" hidden="false" customHeight="true" outlineLevel="0" collapsed="false">
      <c r="A25" s="25" t="s">
        <v>716</v>
      </c>
      <c r="B25" s="25" t="s">
        <v>717</v>
      </c>
      <c r="C25" s="26" t="s">
        <v>736</v>
      </c>
      <c r="D25" s="27" t="s">
        <v>737</v>
      </c>
      <c r="E25" s="21" t="n">
        <v>2</v>
      </c>
      <c r="F25" s="22" t="s">
        <v>181</v>
      </c>
      <c r="G25" s="27"/>
      <c r="H25" s="27"/>
    </row>
    <row r="26" customFormat="false" ht="30" hidden="false" customHeight="true" outlineLevel="0" collapsed="false">
      <c r="A26" s="18" t="s">
        <v>716</v>
      </c>
      <c r="B26" s="18" t="s">
        <v>717</v>
      </c>
      <c r="C26" s="19" t="s">
        <v>738</v>
      </c>
      <c r="D26" s="20" t="s">
        <v>739</v>
      </c>
      <c r="E26" s="21" t="n">
        <v>2</v>
      </c>
      <c r="F26" s="22" t="s">
        <v>181</v>
      </c>
      <c r="G26" s="20"/>
      <c r="H26" s="20"/>
    </row>
    <row r="27" customFormat="false" ht="30" hidden="false" customHeight="true" outlineLevel="0" collapsed="false">
      <c r="A27" s="25" t="s">
        <v>716</v>
      </c>
      <c r="B27" s="25" t="s">
        <v>717</v>
      </c>
      <c r="C27" s="26" t="s">
        <v>740</v>
      </c>
      <c r="D27" s="27" t="s">
        <v>741</v>
      </c>
      <c r="E27" s="31" t="n">
        <v>3</v>
      </c>
      <c r="F27" s="22" t="s">
        <v>181</v>
      </c>
      <c r="G27" s="27"/>
      <c r="H27" s="27"/>
    </row>
    <row r="28" customFormat="false" ht="30" hidden="false" customHeight="true" outlineLevel="0" collapsed="false">
      <c r="A28" s="18" t="s">
        <v>716</v>
      </c>
      <c r="B28" s="18" t="s">
        <v>717</v>
      </c>
      <c r="C28" s="19" t="s">
        <v>742</v>
      </c>
      <c r="D28" s="20" t="s">
        <v>743</v>
      </c>
      <c r="E28" s="31" t="n">
        <v>3</v>
      </c>
      <c r="F28" s="22" t="s">
        <v>181</v>
      </c>
      <c r="G28" s="20"/>
      <c r="H28" s="20"/>
    </row>
    <row r="29" customFormat="false" ht="30" hidden="false" customHeight="true" outlineLevel="0" collapsed="false">
      <c r="A29" s="25" t="s">
        <v>716</v>
      </c>
      <c r="B29" s="25" t="s">
        <v>717</v>
      </c>
      <c r="C29" s="26" t="s">
        <v>744</v>
      </c>
      <c r="D29" s="27" t="s">
        <v>745</v>
      </c>
      <c r="E29" s="31" t="n">
        <v>3</v>
      </c>
      <c r="F29" s="22" t="s">
        <v>181</v>
      </c>
      <c r="G29" s="27"/>
      <c r="H29" s="27"/>
    </row>
    <row r="30" customFormat="false" ht="30" hidden="false" customHeight="true" outlineLevel="0" collapsed="false">
      <c r="A30" s="18" t="s">
        <v>716</v>
      </c>
      <c r="B30" s="18" t="s">
        <v>717</v>
      </c>
      <c r="C30" s="19" t="s">
        <v>746</v>
      </c>
      <c r="D30" s="20" t="s">
        <v>747</v>
      </c>
      <c r="E30" s="31" t="n">
        <v>3</v>
      </c>
      <c r="F30" s="22" t="s">
        <v>181</v>
      </c>
      <c r="G30" s="20"/>
      <c r="H30" s="20"/>
    </row>
    <row r="31" customFormat="false" ht="30" hidden="false" customHeight="true" outlineLevel="0" collapsed="false">
      <c r="A31" s="25" t="s">
        <v>716</v>
      </c>
      <c r="B31" s="25" t="s">
        <v>717</v>
      </c>
      <c r="C31" s="26" t="s">
        <v>748</v>
      </c>
      <c r="D31" s="27" t="s">
        <v>749</v>
      </c>
      <c r="E31" s="31" t="n">
        <v>3</v>
      </c>
      <c r="F31" s="22" t="s">
        <v>181</v>
      </c>
      <c r="G31" s="27"/>
      <c r="H31" s="27"/>
    </row>
    <row r="32" customFormat="false" ht="18" hidden="false" customHeight="true" outlineLevel="0" collapsed="false">
      <c r="A32" s="17" t="s">
        <v>750</v>
      </c>
      <c r="B32" s="17" t="s">
        <v>751</v>
      </c>
      <c r="C32" s="17"/>
      <c r="D32" s="17"/>
      <c r="E32" s="17"/>
      <c r="F32" s="17"/>
      <c r="G32" s="17"/>
      <c r="H32" s="17"/>
    </row>
    <row r="33" customFormat="false" ht="30" hidden="false" customHeight="true" outlineLevel="0" collapsed="false">
      <c r="A33" s="18" t="s">
        <v>750</v>
      </c>
      <c r="B33" s="18" t="s">
        <v>751</v>
      </c>
      <c r="C33" s="19" t="s">
        <v>752</v>
      </c>
      <c r="D33" s="20" t="s">
        <v>753</v>
      </c>
      <c r="E33" s="21" t="n">
        <v>2</v>
      </c>
      <c r="F33" s="22" t="s">
        <v>181</v>
      </c>
      <c r="G33" s="20"/>
      <c r="H33" s="20"/>
    </row>
    <row r="34" customFormat="false" ht="30" hidden="false" customHeight="true" outlineLevel="0" collapsed="false">
      <c r="A34" s="25" t="s">
        <v>750</v>
      </c>
      <c r="B34" s="25" t="s">
        <v>751</v>
      </c>
      <c r="C34" s="26" t="s">
        <v>754</v>
      </c>
      <c r="D34" s="27" t="s">
        <v>755</v>
      </c>
      <c r="E34" s="21" t="n">
        <v>2</v>
      </c>
      <c r="F34" s="22" t="s">
        <v>181</v>
      </c>
      <c r="G34" s="27"/>
      <c r="H34" s="27"/>
    </row>
    <row r="35" customFormat="false" ht="30" hidden="false" customHeight="true" outlineLevel="0" collapsed="false">
      <c r="A35" s="18" t="s">
        <v>750</v>
      </c>
      <c r="B35" s="18" t="s">
        <v>751</v>
      </c>
      <c r="C35" s="19" t="s">
        <v>756</v>
      </c>
      <c r="D35" s="20" t="s">
        <v>757</v>
      </c>
      <c r="E35" s="21" t="n">
        <v>2</v>
      </c>
      <c r="F35" s="22" t="s">
        <v>181</v>
      </c>
      <c r="G35" s="20"/>
      <c r="H35" s="20"/>
    </row>
    <row r="36" customFormat="false" ht="30" hidden="false" customHeight="true" outlineLevel="0" collapsed="false">
      <c r="A36" s="25" t="s">
        <v>750</v>
      </c>
      <c r="B36" s="25" t="s">
        <v>751</v>
      </c>
      <c r="C36" s="26" t="s">
        <v>758</v>
      </c>
      <c r="D36" s="27" t="s">
        <v>759</v>
      </c>
      <c r="E36" s="21" t="n">
        <v>2</v>
      </c>
      <c r="F36" s="22" t="s">
        <v>181</v>
      </c>
      <c r="G36" s="27"/>
      <c r="H36" s="27"/>
    </row>
    <row r="37" customFormat="false" ht="30" hidden="false" customHeight="true" outlineLevel="0" collapsed="false">
      <c r="A37" s="18" t="s">
        <v>750</v>
      </c>
      <c r="B37" s="18" t="s">
        <v>751</v>
      </c>
      <c r="C37" s="19" t="s">
        <v>760</v>
      </c>
      <c r="D37" s="20" t="s">
        <v>761</v>
      </c>
      <c r="E37" s="21" t="n">
        <v>2</v>
      </c>
      <c r="F37" s="22" t="s">
        <v>181</v>
      </c>
      <c r="G37" s="20"/>
      <c r="H37" s="20"/>
    </row>
    <row r="38" customFormat="false" ht="18" hidden="false" customHeight="true" outlineLevel="0" collapsed="false">
      <c r="A38" s="17" t="s">
        <v>762</v>
      </c>
      <c r="B38" s="17" t="s">
        <v>763</v>
      </c>
      <c r="C38" s="17"/>
      <c r="D38" s="17"/>
      <c r="E38" s="17"/>
      <c r="F38" s="17"/>
      <c r="G38" s="17"/>
      <c r="H38" s="17"/>
    </row>
    <row r="39" customFormat="false" ht="30" hidden="false" customHeight="true" outlineLevel="0" collapsed="false">
      <c r="A39" s="18" t="s">
        <v>762</v>
      </c>
      <c r="B39" s="18" t="s">
        <v>763</v>
      </c>
      <c r="C39" s="19" t="s">
        <v>764</v>
      </c>
      <c r="D39" s="20" t="s">
        <v>765</v>
      </c>
      <c r="E39" s="21" t="n">
        <v>2</v>
      </c>
      <c r="F39" s="22" t="s">
        <v>181</v>
      </c>
      <c r="G39" s="20"/>
      <c r="H39" s="20"/>
    </row>
    <row r="40" customFormat="false" ht="30" hidden="false" customHeight="true" outlineLevel="0" collapsed="false">
      <c r="A40" s="25" t="s">
        <v>762</v>
      </c>
      <c r="B40" s="25" t="s">
        <v>763</v>
      </c>
      <c r="C40" s="26" t="s">
        <v>766</v>
      </c>
      <c r="D40" s="27" t="s">
        <v>767</v>
      </c>
      <c r="E40" s="21" t="n">
        <v>2</v>
      </c>
      <c r="F40" s="22" t="s">
        <v>181</v>
      </c>
      <c r="G40" s="27"/>
      <c r="H40" s="27"/>
    </row>
    <row r="41" customFormat="false" ht="18" hidden="false" customHeight="true" outlineLevel="0" collapsed="false">
      <c r="A41" s="17" t="s">
        <v>768</v>
      </c>
      <c r="B41" s="17" t="s">
        <v>769</v>
      </c>
      <c r="C41" s="17"/>
      <c r="D41" s="17"/>
      <c r="E41" s="17"/>
      <c r="F41" s="17"/>
      <c r="G41" s="17"/>
      <c r="H41" s="17"/>
    </row>
    <row r="42" customFormat="false" ht="30" hidden="false" customHeight="true" outlineLevel="0" collapsed="false">
      <c r="A42" s="18" t="s">
        <v>768</v>
      </c>
      <c r="B42" s="18" t="s">
        <v>769</v>
      </c>
      <c r="C42" s="19" t="s">
        <v>770</v>
      </c>
      <c r="D42" s="20" t="s">
        <v>771</v>
      </c>
      <c r="E42" s="21" t="n">
        <v>2</v>
      </c>
      <c r="F42" s="22" t="s">
        <v>181</v>
      </c>
      <c r="G42" s="20"/>
      <c r="H42" s="20"/>
    </row>
    <row r="43" customFormat="false" ht="30" hidden="false" customHeight="true" outlineLevel="0" collapsed="false">
      <c r="A43" s="25" t="s">
        <v>768</v>
      </c>
      <c r="B43" s="25" t="s">
        <v>769</v>
      </c>
      <c r="C43" s="26" t="s">
        <v>772</v>
      </c>
      <c r="D43" s="27" t="s">
        <v>773</v>
      </c>
      <c r="E43" s="21" t="n">
        <v>2</v>
      </c>
      <c r="F43" s="22" t="s">
        <v>181</v>
      </c>
      <c r="G43" s="27"/>
      <c r="H43" s="27"/>
    </row>
    <row r="44" customFormat="false" ht="30" hidden="false" customHeight="true" outlineLevel="0" collapsed="false">
      <c r="A44" s="18" t="s">
        <v>768</v>
      </c>
      <c r="B44" s="18" t="s">
        <v>769</v>
      </c>
      <c r="C44" s="19" t="s">
        <v>774</v>
      </c>
      <c r="D44" s="20" t="s">
        <v>775</v>
      </c>
      <c r="E44" s="21" t="n">
        <v>2</v>
      </c>
      <c r="F44" s="22" t="s">
        <v>181</v>
      </c>
      <c r="G44" s="20"/>
      <c r="H44" s="20"/>
    </row>
  </sheetData>
  <conditionalFormatting sqref="F2:F44">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44"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776</v>
      </c>
      <c r="B2" s="17" t="s">
        <v>777</v>
      </c>
      <c r="C2" s="17"/>
      <c r="D2" s="17"/>
      <c r="E2" s="17"/>
      <c r="F2" s="17"/>
      <c r="G2" s="17"/>
      <c r="H2" s="17"/>
    </row>
    <row r="3" customFormat="false" ht="30" hidden="false" customHeight="true" outlineLevel="0" collapsed="false">
      <c r="A3" s="18" t="s">
        <v>776</v>
      </c>
      <c r="B3" s="18" t="s">
        <v>777</v>
      </c>
      <c r="C3" s="19" t="s">
        <v>778</v>
      </c>
      <c r="D3" s="20" t="s">
        <v>779</v>
      </c>
      <c r="E3" s="21" t="n">
        <v>2</v>
      </c>
      <c r="F3" s="22" t="s">
        <v>181</v>
      </c>
      <c r="G3" s="20"/>
      <c r="H3" s="20"/>
    </row>
    <row r="4" customFormat="false" ht="30" hidden="false" customHeight="true" outlineLevel="0" collapsed="false">
      <c r="A4" s="25" t="s">
        <v>776</v>
      </c>
      <c r="B4" s="25" t="s">
        <v>777</v>
      </c>
      <c r="C4" s="26" t="s">
        <v>780</v>
      </c>
      <c r="D4" s="27" t="s">
        <v>781</v>
      </c>
      <c r="E4" s="21" t="n">
        <v>2</v>
      </c>
      <c r="F4" s="22" t="s">
        <v>181</v>
      </c>
      <c r="G4" s="27"/>
      <c r="H4" s="27"/>
    </row>
    <row r="5" customFormat="false" ht="30" hidden="false" customHeight="true" outlineLevel="0" collapsed="false">
      <c r="A5" s="18" t="s">
        <v>776</v>
      </c>
      <c r="B5" s="18" t="s">
        <v>777</v>
      </c>
      <c r="C5" s="19" t="s">
        <v>782</v>
      </c>
      <c r="D5" s="20" t="s">
        <v>783</v>
      </c>
      <c r="E5" s="31" t="n">
        <v>3</v>
      </c>
      <c r="F5" s="22" t="s">
        <v>181</v>
      </c>
      <c r="G5" s="20"/>
      <c r="H5" s="20"/>
    </row>
    <row r="6" customFormat="false" ht="30" hidden="false" customHeight="true" outlineLevel="0" collapsed="false">
      <c r="A6" s="25" t="s">
        <v>776</v>
      </c>
      <c r="B6" s="25" t="s">
        <v>777</v>
      </c>
      <c r="C6" s="26" t="s">
        <v>784</v>
      </c>
      <c r="D6" s="27" t="s">
        <v>785</v>
      </c>
      <c r="E6" s="31" t="n">
        <v>3</v>
      </c>
      <c r="F6" s="22" t="s">
        <v>181</v>
      </c>
      <c r="G6" s="27"/>
      <c r="H6" s="27"/>
    </row>
    <row r="7" customFormat="false" ht="18" hidden="false" customHeight="true" outlineLevel="0" collapsed="false">
      <c r="A7" s="17" t="s">
        <v>786</v>
      </c>
      <c r="B7" s="17" t="s">
        <v>787</v>
      </c>
      <c r="C7" s="17"/>
      <c r="D7" s="17"/>
      <c r="E7" s="17"/>
      <c r="F7" s="17"/>
      <c r="G7" s="17"/>
      <c r="H7" s="17"/>
    </row>
    <row r="8" customFormat="false" ht="30" hidden="false" customHeight="true" outlineLevel="0" collapsed="false">
      <c r="A8" s="18" t="s">
        <v>786</v>
      </c>
      <c r="B8" s="18" t="s">
        <v>787</v>
      </c>
      <c r="C8" s="19" t="s">
        <v>788</v>
      </c>
      <c r="D8" s="20" t="s">
        <v>789</v>
      </c>
      <c r="E8" s="21" t="n">
        <v>2</v>
      </c>
      <c r="F8" s="22" t="s">
        <v>181</v>
      </c>
      <c r="G8" s="20"/>
      <c r="H8" s="20"/>
    </row>
    <row r="9" customFormat="false" ht="30" hidden="false" customHeight="true" outlineLevel="0" collapsed="false">
      <c r="A9" s="25" t="s">
        <v>786</v>
      </c>
      <c r="B9" s="25" t="s">
        <v>787</v>
      </c>
      <c r="C9" s="26" t="s">
        <v>790</v>
      </c>
      <c r="D9" s="27" t="s">
        <v>791</v>
      </c>
      <c r="E9" s="21" t="n">
        <v>2</v>
      </c>
      <c r="F9" s="22" t="s">
        <v>181</v>
      </c>
      <c r="G9" s="27"/>
      <c r="H9" s="27"/>
    </row>
    <row r="10" customFormat="false" ht="30" hidden="false" customHeight="true" outlineLevel="0" collapsed="false">
      <c r="A10" s="18" t="s">
        <v>786</v>
      </c>
      <c r="B10" s="18" t="s">
        <v>787</v>
      </c>
      <c r="C10" s="19" t="s">
        <v>792</v>
      </c>
      <c r="D10" s="20" t="s">
        <v>793</v>
      </c>
      <c r="E10" s="21" t="n">
        <v>2</v>
      </c>
      <c r="F10" s="22" t="s">
        <v>181</v>
      </c>
      <c r="G10" s="20"/>
      <c r="H10" s="20"/>
    </row>
    <row r="11" customFormat="false" ht="30" hidden="false" customHeight="true" outlineLevel="0" collapsed="false">
      <c r="A11" s="25" t="s">
        <v>786</v>
      </c>
      <c r="B11" s="25" t="s">
        <v>787</v>
      </c>
      <c r="C11" s="26" t="s">
        <v>794</v>
      </c>
      <c r="D11" s="27" t="s">
        <v>795</v>
      </c>
      <c r="E11" s="31" t="n">
        <v>3</v>
      </c>
      <c r="F11" s="22" t="s">
        <v>181</v>
      </c>
      <c r="G11" s="27"/>
      <c r="H11" s="27"/>
    </row>
    <row r="12" customFormat="false" ht="30" hidden="false" customHeight="true" outlineLevel="0" collapsed="false">
      <c r="A12" s="18" t="s">
        <v>786</v>
      </c>
      <c r="B12" s="18" t="s">
        <v>787</v>
      </c>
      <c r="C12" s="19" t="s">
        <v>796</v>
      </c>
      <c r="D12" s="20" t="s">
        <v>797</v>
      </c>
      <c r="E12" s="31" t="n">
        <v>3</v>
      </c>
      <c r="F12" s="22" t="s">
        <v>181</v>
      </c>
      <c r="G12" s="20"/>
      <c r="H12" s="20"/>
    </row>
    <row r="13" customFormat="false" ht="18" hidden="false" customHeight="true" outlineLevel="0" collapsed="false">
      <c r="A13" s="17" t="s">
        <v>798</v>
      </c>
      <c r="B13" s="17" t="s">
        <v>799</v>
      </c>
      <c r="C13" s="17"/>
      <c r="D13" s="17"/>
      <c r="E13" s="17"/>
      <c r="F13" s="17"/>
      <c r="G13" s="17"/>
      <c r="H13" s="17"/>
    </row>
    <row r="14" customFormat="false" ht="30" hidden="false" customHeight="true" outlineLevel="0" collapsed="false">
      <c r="A14" s="18" t="s">
        <v>798</v>
      </c>
      <c r="B14" s="18" t="s">
        <v>799</v>
      </c>
      <c r="C14" s="19" t="s">
        <v>800</v>
      </c>
      <c r="D14" s="20" t="s">
        <v>801</v>
      </c>
      <c r="E14" s="30" t="n">
        <v>1</v>
      </c>
      <c r="F14" s="22" t="s">
        <v>181</v>
      </c>
      <c r="G14" s="20"/>
      <c r="H14" s="20"/>
    </row>
    <row r="15" customFormat="false" ht="30" hidden="false" customHeight="true" outlineLevel="0" collapsed="false">
      <c r="A15" s="25" t="s">
        <v>798</v>
      </c>
      <c r="B15" s="25" t="s">
        <v>799</v>
      </c>
      <c r="C15" s="26" t="s">
        <v>802</v>
      </c>
      <c r="D15" s="27" t="s">
        <v>803</v>
      </c>
      <c r="E15" s="30" t="n">
        <v>1</v>
      </c>
      <c r="F15" s="22" t="s">
        <v>181</v>
      </c>
      <c r="G15" s="27"/>
      <c r="H15" s="27"/>
    </row>
    <row r="16" customFormat="false" ht="30" hidden="false" customHeight="true" outlineLevel="0" collapsed="false">
      <c r="A16" s="18" t="s">
        <v>798</v>
      </c>
      <c r="B16" s="18" t="s">
        <v>799</v>
      </c>
      <c r="C16" s="19" t="s">
        <v>804</v>
      </c>
      <c r="D16" s="20" t="s">
        <v>805</v>
      </c>
      <c r="E16" s="21" t="n">
        <v>2</v>
      </c>
      <c r="F16" s="22" t="s">
        <v>181</v>
      </c>
      <c r="G16" s="20"/>
      <c r="H16" s="20"/>
    </row>
    <row r="17" customFormat="false" ht="30" hidden="false" customHeight="true" outlineLevel="0" collapsed="false">
      <c r="A17" s="25" t="s">
        <v>798</v>
      </c>
      <c r="B17" s="25" t="s">
        <v>799</v>
      </c>
      <c r="C17" s="26" t="s">
        <v>806</v>
      </c>
      <c r="D17" s="27" t="s">
        <v>807</v>
      </c>
      <c r="E17" s="31" t="n">
        <v>3</v>
      </c>
      <c r="F17" s="22" t="s">
        <v>181</v>
      </c>
      <c r="G17" s="27"/>
      <c r="H17" s="27"/>
    </row>
    <row r="18" customFormat="false" ht="30" hidden="false" customHeight="true" outlineLevel="0" collapsed="false">
      <c r="A18" s="18" t="s">
        <v>798</v>
      </c>
      <c r="B18" s="18" t="s">
        <v>799</v>
      </c>
      <c r="C18" s="19" t="s">
        <v>808</v>
      </c>
      <c r="D18" s="20" t="s">
        <v>809</v>
      </c>
      <c r="E18" s="31" t="n">
        <v>3</v>
      </c>
      <c r="F18" s="22" t="s">
        <v>181</v>
      </c>
      <c r="G18" s="20"/>
      <c r="H18" s="20"/>
    </row>
    <row r="19" customFormat="false" ht="18" hidden="false" customHeight="true" outlineLevel="0" collapsed="false">
      <c r="A19" s="17" t="s">
        <v>810</v>
      </c>
      <c r="B19" s="17" t="s">
        <v>811</v>
      </c>
      <c r="C19" s="17"/>
      <c r="D19" s="17"/>
      <c r="E19" s="17"/>
      <c r="F19" s="17"/>
      <c r="G19" s="17"/>
      <c r="H19" s="17"/>
    </row>
    <row r="20" customFormat="false" ht="30" hidden="false" customHeight="true" outlineLevel="0" collapsed="false">
      <c r="A20" s="18" t="s">
        <v>810</v>
      </c>
      <c r="B20" s="18" t="s">
        <v>811</v>
      </c>
      <c r="C20" s="19" t="s">
        <v>812</v>
      </c>
      <c r="D20" s="20" t="s">
        <v>813</v>
      </c>
      <c r="E20" s="30" t="n">
        <v>1</v>
      </c>
      <c r="F20" s="22" t="s">
        <v>181</v>
      </c>
      <c r="G20" s="20"/>
      <c r="H20" s="20"/>
    </row>
    <row r="21" customFormat="false" ht="30" hidden="false" customHeight="true" outlineLevel="0" collapsed="false">
      <c r="A21" s="25" t="s">
        <v>810</v>
      </c>
      <c r="B21" s="25" t="s">
        <v>811</v>
      </c>
      <c r="C21" s="26" t="s">
        <v>814</v>
      </c>
      <c r="D21" s="27" t="s">
        <v>815</v>
      </c>
      <c r="E21" s="21" t="n">
        <v>2</v>
      </c>
      <c r="F21" s="22" t="s">
        <v>181</v>
      </c>
      <c r="G21" s="27"/>
      <c r="H21" s="27"/>
    </row>
    <row r="22" customFormat="false" ht="30" hidden="false" customHeight="true" outlineLevel="0" collapsed="false">
      <c r="A22" s="18" t="s">
        <v>810</v>
      </c>
      <c r="B22" s="18" t="s">
        <v>811</v>
      </c>
      <c r="C22" s="19" t="s">
        <v>816</v>
      </c>
      <c r="D22" s="20" t="s">
        <v>817</v>
      </c>
      <c r="E22" s="21" t="n">
        <v>2</v>
      </c>
      <c r="F22" s="22" t="s">
        <v>181</v>
      </c>
      <c r="G22" s="20"/>
      <c r="H22" s="20"/>
    </row>
    <row r="23" customFormat="false" ht="30" hidden="false" customHeight="true" outlineLevel="0" collapsed="false">
      <c r="A23" s="25" t="s">
        <v>810</v>
      </c>
      <c r="B23" s="25" t="s">
        <v>811</v>
      </c>
      <c r="C23" s="26" t="s">
        <v>818</v>
      </c>
      <c r="D23" s="27" t="s">
        <v>819</v>
      </c>
      <c r="E23" s="21" t="n">
        <v>2</v>
      </c>
      <c r="F23" s="22" t="s">
        <v>181</v>
      </c>
      <c r="G23" s="27"/>
      <c r="H23" s="27"/>
    </row>
    <row r="24" customFormat="false" ht="18" hidden="false" customHeight="true" outlineLevel="0" collapsed="false">
      <c r="A24" s="17" t="s">
        <v>820</v>
      </c>
      <c r="B24" s="17" t="s">
        <v>821</v>
      </c>
      <c r="C24" s="17"/>
      <c r="D24" s="17"/>
      <c r="E24" s="17"/>
      <c r="F24" s="17"/>
      <c r="G24" s="17"/>
      <c r="H24" s="17"/>
    </row>
    <row r="25" customFormat="false" ht="30" hidden="false" customHeight="true" outlineLevel="0" collapsed="false">
      <c r="A25" s="18" t="s">
        <v>820</v>
      </c>
      <c r="B25" s="18" t="s">
        <v>821</v>
      </c>
      <c r="C25" s="19" t="s">
        <v>822</v>
      </c>
      <c r="D25" s="20" t="s">
        <v>823</v>
      </c>
      <c r="E25" s="21" t="n">
        <v>2</v>
      </c>
      <c r="F25" s="22" t="s">
        <v>181</v>
      </c>
      <c r="G25" s="20"/>
      <c r="H25" s="20"/>
    </row>
    <row r="26" customFormat="false" ht="30" hidden="false" customHeight="true" outlineLevel="0" collapsed="false">
      <c r="A26" s="25" t="s">
        <v>820</v>
      </c>
      <c r="B26" s="25" t="s">
        <v>821</v>
      </c>
      <c r="C26" s="26" t="s">
        <v>824</v>
      </c>
      <c r="D26" s="27" t="s">
        <v>825</v>
      </c>
      <c r="E26" s="31" t="n">
        <v>3</v>
      </c>
      <c r="F26" s="22" t="s">
        <v>181</v>
      </c>
      <c r="G26" s="27"/>
      <c r="H26" s="27"/>
    </row>
    <row r="27" customFormat="false" ht="18" hidden="false" customHeight="true" outlineLevel="0" collapsed="false">
      <c r="A27" s="17" t="s">
        <v>826</v>
      </c>
      <c r="B27" s="17" t="s">
        <v>827</v>
      </c>
      <c r="C27" s="17"/>
      <c r="D27" s="17"/>
      <c r="E27" s="17"/>
      <c r="F27" s="17"/>
      <c r="G27" s="17"/>
      <c r="H27" s="17"/>
    </row>
    <row r="28" customFormat="false" ht="30" hidden="false" customHeight="true" outlineLevel="0" collapsed="false">
      <c r="A28" s="18" t="s">
        <v>826</v>
      </c>
      <c r="B28" s="18" t="s">
        <v>827</v>
      </c>
      <c r="C28" s="19" t="s">
        <v>828</v>
      </c>
      <c r="D28" s="20" t="s">
        <v>829</v>
      </c>
      <c r="E28" s="21" t="n">
        <v>2</v>
      </c>
      <c r="F28" s="22" t="s">
        <v>181</v>
      </c>
      <c r="G28" s="20"/>
      <c r="H28" s="20"/>
    </row>
    <row r="29" customFormat="false" ht="30" hidden="false" customHeight="true" outlineLevel="0" collapsed="false">
      <c r="A29" s="25" t="s">
        <v>826</v>
      </c>
      <c r="B29" s="25" t="s">
        <v>827</v>
      </c>
      <c r="C29" s="26" t="s">
        <v>830</v>
      </c>
      <c r="D29" s="27" t="s">
        <v>831</v>
      </c>
      <c r="E29" s="31" t="n">
        <v>3</v>
      </c>
      <c r="F29" s="22" t="s">
        <v>181</v>
      </c>
      <c r="G29" s="27"/>
      <c r="H29" s="27"/>
    </row>
    <row r="30" customFormat="false" ht="18" hidden="false" customHeight="true" outlineLevel="0" collapsed="false">
      <c r="A30" s="17" t="s">
        <v>832</v>
      </c>
      <c r="B30" s="17" t="s">
        <v>833</v>
      </c>
      <c r="C30" s="17"/>
      <c r="D30" s="17"/>
      <c r="E30" s="17"/>
      <c r="F30" s="17"/>
      <c r="G30" s="17"/>
      <c r="H30" s="17"/>
    </row>
    <row r="31" customFormat="false" ht="30" hidden="false" customHeight="true" outlineLevel="0" collapsed="false">
      <c r="A31" s="18" t="s">
        <v>832</v>
      </c>
      <c r="B31" s="18" t="s">
        <v>833</v>
      </c>
      <c r="C31" s="19" t="s">
        <v>834</v>
      </c>
      <c r="D31" s="20" t="s">
        <v>835</v>
      </c>
      <c r="E31" s="31" t="n">
        <v>3</v>
      </c>
      <c r="F31" s="22" t="s">
        <v>181</v>
      </c>
      <c r="G31" s="20"/>
      <c r="H31" s="20"/>
    </row>
    <row r="32" customFormat="false" ht="30" hidden="false" customHeight="true" outlineLevel="0" collapsed="false">
      <c r="A32" s="25" t="s">
        <v>832</v>
      </c>
      <c r="B32" s="25" t="s">
        <v>833</v>
      </c>
      <c r="C32" s="26" t="s">
        <v>836</v>
      </c>
      <c r="D32" s="27" t="s">
        <v>837</v>
      </c>
      <c r="E32" s="31" t="n">
        <v>3</v>
      </c>
      <c r="F32" s="22" t="s">
        <v>181</v>
      </c>
      <c r="G32" s="27"/>
      <c r="H32" s="27"/>
    </row>
  </sheetData>
  <conditionalFormatting sqref="F2:F32">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2"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838</v>
      </c>
      <c r="B2" s="17" t="s">
        <v>839</v>
      </c>
      <c r="C2" s="17"/>
      <c r="D2" s="17"/>
      <c r="E2" s="17"/>
      <c r="F2" s="17"/>
      <c r="G2" s="17"/>
      <c r="H2" s="17"/>
    </row>
    <row r="3" customFormat="false" ht="30" hidden="false" customHeight="true" outlineLevel="0" collapsed="false">
      <c r="A3" s="18" t="s">
        <v>838</v>
      </c>
      <c r="B3" s="18" t="s">
        <v>839</v>
      </c>
      <c r="C3" s="19" t="s">
        <v>840</v>
      </c>
      <c r="D3" s="20" t="s">
        <v>841</v>
      </c>
      <c r="E3" s="30" t="n">
        <v>1</v>
      </c>
      <c r="F3" s="22" t="s">
        <v>181</v>
      </c>
      <c r="G3" s="20"/>
      <c r="H3" s="20"/>
    </row>
    <row r="4" customFormat="false" ht="30" hidden="false" customHeight="true" outlineLevel="0" collapsed="false">
      <c r="A4" s="25" t="s">
        <v>838</v>
      </c>
      <c r="B4" s="25" t="s">
        <v>839</v>
      </c>
      <c r="C4" s="26" t="s">
        <v>842</v>
      </c>
      <c r="D4" s="27" t="s">
        <v>843</v>
      </c>
      <c r="E4" s="21" t="n">
        <v>2</v>
      </c>
      <c r="F4" s="22" t="s">
        <v>181</v>
      </c>
      <c r="G4" s="27"/>
      <c r="H4" s="27"/>
    </row>
    <row r="5" customFormat="false" ht="30" hidden="false" customHeight="true" outlineLevel="0" collapsed="false">
      <c r="A5" s="18" t="s">
        <v>838</v>
      </c>
      <c r="B5" s="18" t="s">
        <v>839</v>
      </c>
      <c r="C5" s="19" t="s">
        <v>844</v>
      </c>
      <c r="D5" s="20" t="s">
        <v>845</v>
      </c>
      <c r="E5" s="21" t="n">
        <v>2</v>
      </c>
      <c r="F5" s="22" t="s">
        <v>181</v>
      </c>
      <c r="G5" s="20"/>
      <c r="H5" s="20"/>
    </row>
    <row r="6" customFormat="false" ht="30" hidden="false" customHeight="true" outlineLevel="0" collapsed="false">
      <c r="A6" s="25" t="s">
        <v>838</v>
      </c>
      <c r="B6" s="25" t="s">
        <v>839</v>
      </c>
      <c r="C6" s="26" t="s">
        <v>846</v>
      </c>
      <c r="D6" s="27" t="s">
        <v>847</v>
      </c>
      <c r="E6" s="31" t="n">
        <v>3</v>
      </c>
      <c r="F6" s="22" t="s">
        <v>181</v>
      </c>
      <c r="G6" s="27"/>
      <c r="H6" s="27"/>
    </row>
    <row r="7" customFormat="false" ht="30" hidden="false" customHeight="true" outlineLevel="0" collapsed="false">
      <c r="A7" s="18" t="s">
        <v>838</v>
      </c>
      <c r="B7" s="18" t="s">
        <v>839</v>
      </c>
      <c r="C7" s="19" t="s">
        <v>848</v>
      </c>
      <c r="D7" s="20" t="s">
        <v>849</v>
      </c>
      <c r="E7" s="31" t="n">
        <v>3</v>
      </c>
      <c r="F7" s="22" t="s">
        <v>181</v>
      </c>
      <c r="G7" s="20"/>
      <c r="H7" s="20"/>
    </row>
    <row r="8" customFormat="false" ht="18" hidden="false" customHeight="true" outlineLevel="0" collapsed="false">
      <c r="A8" s="17" t="s">
        <v>850</v>
      </c>
      <c r="B8" s="17" t="s">
        <v>851</v>
      </c>
      <c r="C8" s="17"/>
      <c r="D8" s="17"/>
      <c r="E8" s="17"/>
      <c r="F8" s="17"/>
      <c r="G8" s="17"/>
      <c r="H8" s="17"/>
    </row>
    <row r="9" customFormat="false" ht="30" hidden="false" customHeight="true" outlineLevel="0" collapsed="false">
      <c r="A9" s="18" t="s">
        <v>850</v>
      </c>
      <c r="B9" s="18" t="s">
        <v>851</v>
      </c>
      <c r="C9" s="19" t="s">
        <v>852</v>
      </c>
      <c r="D9" s="20" t="s">
        <v>853</v>
      </c>
      <c r="E9" s="30" t="n">
        <v>1</v>
      </c>
      <c r="F9" s="22" t="s">
        <v>181</v>
      </c>
      <c r="G9" s="20"/>
      <c r="H9" s="20"/>
    </row>
    <row r="10" customFormat="false" ht="30" hidden="false" customHeight="true" outlineLevel="0" collapsed="false">
      <c r="A10" s="25" t="s">
        <v>850</v>
      </c>
      <c r="B10" s="25" t="s">
        <v>851</v>
      </c>
      <c r="C10" s="26" t="s">
        <v>854</v>
      </c>
      <c r="D10" s="27" t="s">
        <v>855</v>
      </c>
      <c r="E10" s="30" t="n">
        <v>1</v>
      </c>
      <c r="F10" s="22" t="s">
        <v>181</v>
      </c>
      <c r="G10" s="27"/>
      <c r="H10" s="27"/>
    </row>
    <row r="11" customFormat="false" ht="18" hidden="false" customHeight="true" outlineLevel="0" collapsed="false">
      <c r="A11" s="17" t="s">
        <v>856</v>
      </c>
      <c r="B11" s="17" t="s">
        <v>857</v>
      </c>
      <c r="C11" s="17"/>
      <c r="D11" s="17"/>
      <c r="E11" s="17"/>
      <c r="F11" s="17"/>
      <c r="G11" s="17"/>
      <c r="H11" s="17"/>
    </row>
    <row r="12" customFormat="false" ht="30" hidden="false" customHeight="true" outlineLevel="0" collapsed="false">
      <c r="A12" s="18" t="s">
        <v>856</v>
      </c>
      <c r="B12" s="18" t="s">
        <v>857</v>
      </c>
      <c r="C12" s="19" t="s">
        <v>858</v>
      </c>
      <c r="D12" s="20" t="s">
        <v>859</v>
      </c>
      <c r="E12" s="21" t="n">
        <v>2</v>
      </c>
      <c r="F12" s="22" t="s">
        <v>181</v>
      </c>
      <c r="G12" s="20"/>
      <c r="H12" s="20"/>
    </row>
    <row r="13" customFormat="false" ht="30" hidden="false" customHeight="true" outlineLevel="0" collapsed="false">
      <c r="A13" s="25" t="s">
        <v>856</v>
      </c>
      <c r="B13" s="25" t="s">
        <v>857</v>
      </c>
      <c r="C13" s="26" t="s">
        <v>860</v>
      </c>
      <c r="D13" s="27" t="s">
        <v>861</v>
      </c>
      <c r="E13" s="21" t="n">
        <v>2</v>
      </c>
      <c r="F13" s="22" t="s">
        <v>181</v>
      </c>
      <c r="G13" s="27"/>
      <c r="H13" s="27"/>
    </row>
    <row r="14" customFormat="false" ht="30" hidden="false" customHeight="true" outlineLevel="0" collapsed="false">
      <c r="A14" s="18" t="s">
        <v>856</v>
      </c>
      <c r="B14" s="18" t="s">
        <v>857</v>
      </c>
      <c r="C14" s="19" t="s">
        <v>862</v>
      </c>
      <c r="D14" s="20" t="s">
        <v>863</v>
      </c>
      <c r="E14" s="21" t="n">
        <v>2</v>
      </c>
      <c r="F14" s="22" t="s">
        <v>181</v>
      </c>
      <c r="G14" s="20"/>
      <c r="H14" s="20"/>
    </row>
    <row r="15" customFormat="false" ht="30" hidden="false" customHeight="true" outlineLevel="0" collapsed="false">
      <c r="A15" s="25" t="s">
        <v>856</v>
      </c>
      <c r="B15" s="25" t="s">
        <v>857</v>
      </c>
      <c r="C15" s="26" t="s">
        <v>864</v>
      </c>
      <c r="D15" s="27" t="s">
        <v>865</v>
      </c>
      <c r="E15" s="21" t="n">
        <v>2</v>
      </c>
      <c r="F15" s="22" t="s">
        <v>181</v>
      </c>
      <c r="G15" s="27"/>
      <c r="H15" s="27"/>
    </row>
    <row r="16" customFormat="false" ht="30" hidden="false" customHeight="true" outlineLevel="0" collapsed="false">
      <c r="A16" s="18" t="s">
        <v>856</v>
      </c>
      <c r="B16" s="18" t="s">
        <v>857</v>
      </c>
      <c r="C16" s="19" t="s">
        <v>866</v>
      </c>
      <c r="D16" s="20" t="s">
        <v>867</v>
      </c>
      <c r="E16" s="31" t="n">
        <v>3</v>
      </c>
      <c r="F16" s="22" t="s">
        <v>181</v>
      </c>
      <c r="G16" s="20"/>
      <c r="H16" s="20"/>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868</v>
      </c>
      <c r="B2" s="17" t="s">
        <v>869</v>
      </c>
      <c r="C2" s="17"/>
      <c r="D2" s="17"/>
      <c r="E2" s="17"/>
      <c r="F2" s="17"/>
      <c r="G2" s="17"/>
      <c r="H2" s="17"/>
    </row>
    <row r="3" customFormat="false" ht="30" hidden="false" customHeight="true" outlineLevel="0" collapsed="false">
      <c r="A3" s="18" t="s">
        <v>868</v>
      </c>
      <c r="B3" s="18" t="s">
        <v>869</v>
      </c>
      <c r="C3" s="19" t="s">
        <v>870</v>
      </c>
      <c r="D3" s="20" t="s">
        <v>871</v>
      </c>
      <c r="E3" s="21" t="n">
        <v>2</v>
      </c>
      <c r="F3" s="22" t="s">
        <v>181</v>
      </c>
      <c r="G3" s="20"/>
      <c r="H3" s="20"/>
    </row>
    <row r="4" customFormat="false" ht="30" hidden="false" customHeight="true" outlineLevel="0" collapsed="false">
      <c r="A4" s="25" t="s">
        <v>868</v>
      </c>
      <c r="B4" s="25" t="s">
        <v>869</v>
      </c>
      <c r="C4" s="26" t="s">
        <v>872</v>
      </c>
      <c r="D4" s="27" t="s">
        <v>873</v>
      </c>
      <c r="E4" s="31" t="n">
        <v>3</v>
      </c>
      <c r="F4" s="22" t="s">
        <v>181</v>
      </c>
      <c r="G4" s="27"/>
      <c r="H4" s="27"/>
    </row>
    <row r="5" customFormat="false" ht="30" hidden="false" customHeight="true" outlineLevel="0" collapsed="false">
      <c r="A5" s="18" t="s">
        <v>868</v>
      </c>
      <c r="B5" s="18" t="s">
        <v>869</v>
      </c>
      <c r="C5" s="19" t="s">
        <v>874</v>
      </c>
      <c r="D5" s="20" t="s">
        <v>875</v>
      </c>
      <c r="E5" s="31" t="n">
        <v>3</v>
      </c>
      <c r="F5" s="22" t="s">
        <v>181</v>
      </c>
      <c r="G5" s="20"/>
      <c r="H5" s="20"/>
    </row>
    <row r="6" customFormat="false" ht="30" hidden="false" customHeight="true" outlineLevel="0" collapsed="false">
      <c r="A6" s="25" t="s">
        <v>868</v>
      </c>
      <c r="B6" s="25" t="s">
        <v>869</v>
      </c>
      <c r="C6" s="26" t="s">
        <v>876</v>
      </c>
      <c r="D6" s="27" t="s">
        <v>877</v>
      </c>
      <c r="E6" s="31" t="n">
        <v>3</v>
      </c>
      <c r="F6" s="22" t="s">
        <v>181</v>
      </c>
      <c r="G6" s="27"/>
      <c r="H6" s="27"/>
    </row>
    <row r="7" customFormat="false" ht="18" hidden="false" customHeight="true" outlineLevel="0" collapsed="false">
      <c r="A7" s="17" t="s">
        <v>878</v>
      </c>
      <c r="B7" s="17" t="s">
        <v>879</v>
      </c>
      <c r="C7" s="17"/>
      <c r="D7" s="17"/>
      <c r="E7" s="17"/>
      <c r="F7" s="17"/>
      <c r="G7" s="17"/>
      <c r="H7" s="17"/>
    </row>
    <row r="8" customFormat="false" ht="30" hidden="false" customHeight="true" outlineLevel="0" collapsed="false">
      <c r="A8" s="18" t="s">
        <v>878</v>
      </c>
      <c r="B8" s="18" t="s">
        <v>879</v>
      </c>
      <c r="C8" s="19" t="s">
        <v>880</v>
      </c>
      <c r="D8" s="20" t="s">
        <v>881</v>
      </c>
      <c r="E8" s="21" t="n">
        <v>2</v>
      </c>
      <c r="F8" s="22" t="s">
        <v>181</v>
      </c>
      <c r="G8" s="20"/>
      <c r="H8" s="20"/>
    </row>
    <row r="9" customFormat="false" ht="30" hidden="false" customHeight="true" outlineLevel="0" collapsed="false">
      <c r="A9" s="25" t="s">
        <v>878</v>
      </c>
      <c r="B9" s="25" t="s">
        <v>879</v>
      </c>
      <c r="C9" s="26" t="s">
        <v>882</v>
      </c>
      <c r="D9" s="27" t="s">
        <v>883</v>
      </c>
      <c r="E9" s="21" t="n">
        <v>2</v>
      </c>
      <c r="F9" s="22" t="s">
        <v>181</v>
      </c>
      <c r="G9" s="27"/>
      <c r="H9" s="27"/>
    </row>
    <row r="10" customFormat="false" ht="30" hidden="false" customHeight="true" outlineLevel="0" collapsed="false">
      <c r="A10" s="18" t="s">
        <v>878</v>
      </c>
      <c r="B10" s="18" t="s">
        <v>879</v>
      </c>
      <c r="C10" s="19" t="s">
        <v>884</v>
      </c>
      <c r="D10" s="20" t="s">
        <v>885</v>
      </c>
      <c r="E10" s="21" t="n">
        <v>2</v>
      </c>
      <c r="F10" s="22" t="s">
        <v>181</v>
      </c>
      <c r="G10" s="20"/>
      <c r="H10" s="20"/>
    </row>
    <row r="11" customFormat="false" ht="30" hidden="false" customHeight="true" outlineLevel="0" collapsed="false">
      <c r="A11" s="25" t="s">
        <v>878</v>
      </c>
      <c r="B11" s="25" t="s">
        <v>879</v>
      </c>
      <c r="C11" s="26" t="s">
        <v>886</v>
      </c>
      <c r="D11" s="27" t="s">
        <v>887</v>
      </c>
      <c r="E11" s="21" t="n">
        <v>2</v>
      </c>
      <c r="F11" s="22" t="s">
        <v>181</v>
      </c>
      <c r="G11" s="27"/>
      <c r="H11" s="27"/>
    </row>
    <row r="12" customFormat="false" ht="30" hidden="false" customHeight="true" outlineLevel="0" collapsed="false">
      <c r="A12" s="18" t="s">
        <v>878</v>
      </c>
      <c r="B12" s="18" t="s">
        <v>879</v>
      </c>
      <c r="C12" s="19" t="s">
        <v>888</v>
      </c>
      <c r="D12" s="20" t="s">
        <v>889</v>
      </c>
      <c r="E12" s="21" t="n">
        <v>2</v>
      </c>
      <c r="F12" s="22" t="s">
        <v>181</v>
      </c>
      <c r="G12" s="20"/>
      <c r="H12" s="20"/>
    </row>
    <row r="13" customFormat="false" ht="30" hidden="false" customHeight="true" outlineLevel="0" collapsed="false">
      <c r="A13" s="25" t="s">
        <v>878</v>
      </c>
      <c r="B13" s="25" t="s">
        <v>879</v>
      </c>
      <c r="C13" s="26" t="s">
        <v>890</v>
      </c>
      <c r="D13" s="27" t="s">
        <v>891</v>
      </c>
      <c r="E13" s="31" t="n">
        <v>3</v>
      </c>
      <c r="F13" s="22" t="s">
        <v>181</v>
      </c>
      <c r="G13" s="27"/>
      <c r="H13" s="27"/>
    </row>
    <row r="14" customFormat="false" ht="18" hidden="false" customHeight="true" outlineLevel="0" collapsed="false">
      <c r="A14" s="17" t="s">
        <v>892</v>
      </c>
      <c r="B14" s="17" t="s">
        <v>893</v>
      </c>
      <c r="C14" s="17"/>
      <c r="D14" s="17"/>
      <c r="E14" s="17"/>
      <c r="F14" s="17"/>
      <c r="G14" s="17"/>
      <c r="H14" s="17"/>
    </row>
    <row r="15" customFormat="false" ht="30" hidden="false" customHeight="true" outlineLevel="0" collapsed="false">
      <c r="A15" s="18" t="s">
        <v>892</v>
      </c>
      <c r="B15" s="18" t="s">
        <v>893</v>
      </c>
      <c r="C15" s="19" t="s">
        <v>894</v>
      </c>
      <c r="D15" s="20" t="s">
        <v>895</v>
      </c>
      <c r="E15" s="21" t="n">
        <v>2</v>
      </c>
      <c r="F15" s="22" t="s">
        <v>181</v>
      </c>
      <c r="G15" s="20"/>
      <c r="H15" s="20"/>
    </row>
    <row r="16" customFormat="false" ht="30" hidden="false" customHeight="true" outlineLevel="0" collapsed="false">
      <c r="A16" s="25" t="s">
        <v>892</v>
      </c>
      <c r="B16" s="25" t="s">
        <v>893</v>
      </c>
      <c r="C16" s="26" t="s">
        <v>896</v>
      </c>
      <c r="D16" s="27" t="s">
        <v>897</v>
      </c>
      <c r="E16" s="21" t="n">
        <v>2</v>
      </c>
      <c r="F16" s="22" t="s">
        <v>181</v>
      </c>
      <c r="G16" s="27"/>
      <c r="H16" s="27"/>
    </row>
    <row r="17" customFormat="false" ht="30" hidden="false" customHeight="true" outlineLevel="0" collapsed="false">
      <c r="A17" s="18" t="s">
        <v>892</v>
      </c>
      <c r="B17" s="18" t="s">
        <v>893</v>
      </c>
      <c r="C17" s="19" t="s">
        <v>898</v>
      </c>
      <c r="D17" s="20" t="s">
        <v>899</v>
      </c>
      <c r="E17" s="31" t="n">
        <v>3</v>
      </c>
      <c r="F17" s="22" t="s">
        <v>181</v>
      </c>
      <c r="G17" s="20"/>
      <c r="H17" s="20"/>
    </row>
    <row r="18" customFormat="false" ht="30" hidden="false" customHeight="true" outlineLevel="0" collapsed="false">
      <c r="A18" s="25" t="s">
        <v>892</v>
      </c>
      <c r="B18" s="25" t="s">
        <v>893</v>
      </c>
      <c r="C18" s="26" t="s">
        <v>900</v>
      </c>
      <c r="D18" s="27" t="s">
        <v>901</v>
      </c>
      <c r="E18" s="31" t="n">
        <v>3</v>
      </c>
      <c r="F18" s="22" t="s">
        <v>181</v>
      </c>
      <c r="G18" s="27"/>
      <c r="H18" s="27"/>
    </row>
    <row r="19" customFormat="false" ht="18" hidden="false" customHeight="true" outlineLevel="0" collapsed="false">
      <c r="A19" s="17" t="s">
        <v>902</v>
      </c>
      <c r="B19" s="17" t="s">
        <v>903</v>
      </c>
      <c r="C19" s="17"/>
      <c r="D19" s="17"/>
      <c r="E19" s="17"/>
      <c r="F19" s="17"/>
      <c r="G19" s="17"/>
      <c r="H19" s="17"/>
    </row>
    <row r="20" customFormat="false" ht="30" hidden="false" customHeight="true" outlineLevel="0" collapsed="false">
      <c r="A20" s="18" t="s">
        <v>902</v>
      </c>
      <c r="B20" s="18" t="s">
        <v>903</v>
      </c>
      <c r="C20" s="19" t="s">
        <v>904</v>
      </c>
      <c r="D20" s="20" t="s">
        <v>905</v>
      </c>
      <c r="E20" s="30" t="n">
        <v>1</v>
      </c>
      <c r="F20" s="22" t="s">
        <v>181</v>
      </c>
      <c r="G20" s="20"/>
      <c r="H20" s="20"/>
    </row>
    <row r="21" customFormat="false" ht="30" hidden="false" customHeight="true" outlineLevel="0" collapsed="false">
      <c r="A21" s="25" t="s">
        <v>902</v>
      </c>
      <c r="B21" s="25" t="s">
        <v>903</v>
      </c>
      <c r="C21" s="26" t="s">
        <v>906</v>
      </c>
      <c r="D21" s="27" t="s">
        <v>907</v>
      </c>
      <c r="E21" s="21" t="n">
        <v>2</v>
      </c>
      <c r="F21" s="22" t="s">
        <v>181</v>
      </c>
      <c r="G21" s="27"/>
      <c r="H21" s="27"/>
    </row>
    <row r="22" customFormat="false" ht="30" hidden="false" customHeight="true" outlineLevel="0" collapsed="false">
      <c r="A22" s="18" t="s">
        <v>902</v>
      </c>
      <c r="B22" s="18" t="s">
        <v>903</v>
      </c>
      <c r="C22" s="19" t="s">
        <v>908</v>
      </c>
      <c r="D22" s="20" t="s">
        <v>909</v>
      </c>
      <c r="E22" s="21" t="n">
        <v>2</v>
      </c>
      <c r="F22" s="22" t="s">
        <v>181</v>
      </c>
      <c r="G22" s="20"/>
      <c r="H22" s="20"/>
    </row>
    <row r="23" customFormat="false" ht="30" hidden="false" customHeight="true" outlineLevel="0" collapsed="false">
      <c r="A23" s="25" t="s">
        <v>902</v>
      </c>
      <c r="B23" s="25" t="s">
        <v>903</v>
      </c>
      <c r="C23" s="26" t="s">
        <v>910</v>
      </c>
      <c r="D23" s="27" t="s">
        <v>911</v>
      </c>
      <c r="E23" s="21" t="n">
        <v>2</v>
      </c>
      <c r="F23" s="22" t="s">
        <v>181</v>
      </c>
      <c r="G23" s="27"/>
      <c r="H23" s="27"/>
    </row>
    <row r="24" customFormat="false" ht="30" hidden="false" customHeight="true" outlineLevel="0" collapsed="false">
      <c r="A24" s="18" t="s">
        <v>902</v>
      </c>
      <c r="B24" s="18" t="s">
        <v>903</v>
      </c>
      <c r="C24" s="19" t="s">
        <v>912</v>
      </c>
      <c r="D24" s="20" t="s">
        <v>913</v>
      </c>
      <c r="E24" s="21" t="n">
        <v>2</v>
      </c>
      <c r="F24" s="22" t="s">
        <v>181</v>
      </c>
      <c r="G24" s="20"/>
      <c r="H24" s="20"/>
    </row>
    <row r="25" customFormat="false" ht="30" hidden="false" customHeight="true" outlineLevel="0" collapsed="false">
      <c r="A25" s="25" t="s">
        <v>902</v>
      </c>
      <c r="B25" s="25" t="s">
        <v>903</v>
      </c>
      <c r="C25" s="26" t="s">
        <v>914</v>
      </c>
      <c r="D25" s="27" t="s">
        <v>915</v>
      </c>
      <c r="E25" s="31" t="n">
        <v>3</v>
      </c>
      <c r="F25" s="22" t="s">
        <v>181</v>
      </c>
      <c r="G25" s="27"/>
      <c r="H25" s="27"/>
    </row>
    <row r="26" customFormat="false" ht="30" hidden="false" customHeight="true" outlineLevel="0" collapsed="false">
      <c r="A26" s="18" t="s">
        <v>902</v>
      </c>
      <c r="B26" s="18" t="s">
        <v>903</v>
      </c>
      <c r="C26" s="19" t="s">
        <v>916</v>
      </c>
      <c r="D26" s="20" t="s">
        <v>917</v>
      </c>
      <c r="E26" s="31" t="n">
        <v>3</v>
      </c>
      <c r="F26" s="22" t="s">
        <v>181</v>
      </c>
      <c r="G26" s="20"/>
      <c r="H26" s="20"/>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918</v>
      </c>
      <c r="B2" s="17" t="s">
        <v>919</v>
      </c>
      <c r="C2" s="17"/>
      <c r="D2" s="17"/>
      <c r="E2" s="17"/>
      <c r="F2" s="17"/>
      <c r="G2" s="17"/>
      <c r="H2" s="17"/>
    </row>
    <row r="3" customFormat="false" ht="30" hidden="false" customHeight="true" outlineLevel="0" collapsed="false">
      <c r="A3" s="18" t="s">
        <v>918</v>
      </c>
      <c r="B3" s="18" t="s">
        <v>919</v>
      </c>
      <c r="C3" s="19" t="s">
        <v>920</v>
      </c>
      <c r="D3" s="20" t="s">
        <v>921</v>
      </c>
      <c r="E3" s="21" t="n">
        <v>2</v>
      </c>
      <c r="F3" s="22" t="s">
        <v>181</v>
      </c>
      <c r="G3" s="20"/>
      <c r="H3" s="20"/>
    </row>
    <row r="4" customFormat="false" ht="30" hidden="false" customHeight="true" outlineLevel="0" collapsed="false">
      <c r="A4" s="25" t="s">
        <v>918</v>
      </c>
      <c r="B4" s="25" t="s">
        <v>919</v>
      </c>
      <c r="C4" s="26" t="s">
        <v>922</v>
      </c>
      <c r="D4" s="27" t="s">
        <v>923</v>
      </c>
      <c r="E4" s="21" t="n">
        <v>2</v>
      </c>
      <c r="F4" s="22" t="s">
        <v>181</v>
      </c>
      <c r="G4" s="27"/>
      <c r="H4" s="27"/>
    </row>
    <row r="5" customFormat="false" ht="18" hidden="false" customHeight="true" outlineLevel="0" collapsed="false">
      <c r="A5" s="17" t="s">
        <v>924</v>
      </c>
      <c r="B5" s="17" t="s">
        <v>925</v>
      </c>
      <c r="C5" s="17"/>
      <c r="D5" s="17"/>
      <c r="E5" s="17"/>
      <c r="F5" s="17"/>
      <c r="G5" s="17"/>
      <c r="H5" s="17"/>
    </row>
    <row r="6" customFormat="false" ht="30" hidden="false" customHeight="true" outlineLevel="0" collapsed="false">
      <c r="A6" s="18" t="s">
        <v>924</v>
      </c>
      <c r="B6" s="18" t="s">
        <v>925</v>
      </c>
      <c r="C6" s="19" t="s">
        <v>926</v>
      </c>
      <c r="D6" s="20" t="s">
        <v>927</v>
      </c>
      <c r="E6" s="30" t="n">
        <v>1</v>
      </c>
      <c r="F6" s="22" t="s">
        <v>181</v>
      </c>
      <c r="G6" s="20"/>
      <c r="H6" s="20"/>
    </row>
    <row r="7" customFormat="false" ht="30" hidden="false" customHeight="true" outlineLevel="0" collapsed="false">
      <c r="A7" s="25" t="s">
        <v>924</v>
      </c>
      <c r="B7" s="25" t="s">
        <v>925</v>
      </c>
      <c r="C7" s="26" t="s">
        <v>928</v>
      </c>
      <c r="D7" s="27" t="s">
        <v>929</v>
      </c>
      <c r="E7" s="21" t="n">
        <v>2</v>
      </c>
      <c r="F7" s="22" t="s">
        <v>181</v>
      </c>
      <c r="G7" s="27"/>
      <c r="H7" s="27"/>
    </row>
    <row r="8" customFormat="false" ht="30" hidden="false" customHeight="true" outlineLevel="0" collapsed="false">
      <c r="A8" s="18" t="s">
        <v>924</v>
      </c>
      <c r="B8" s="18" t="s">
        <v>925</v>
      </c>
      <c r="C8" s="19" t="s">
        <v>930</v>
      </c>
      <c r="D8" s="20" t="s">
        <v>931</v>
      </c>
      <c r="E8" s="21" t="n">
        <v>2</v>
      </c>
      <c r="F8" s="22" t="s">
        <v>181</v>
      </c>
      <c r="G8" s="20"/>
      <c r="H8" s="20"/>
    </row>
    <row r="9" customFormat="false" ht="30" hidden="false" customHeight="true" outlineLevel="0" collapsed="false">
      <c r="A9" s="25" t="s">
        <v>924</v>
      </c>
      <c r="B9" s="25" t="s">
        <v>925</v>
      </c>
      <c r="C9" s="26" t="s">
        <v>932</v>
      </c>
      <c r="D9" s="27" t="s">
        <v>933</v>
      </c>
      <c r="E9" s="21" t="n">
        <v>2</v>
      </c>
      <c r="F9" s="22" t="s">
        <v>181</v>
      </c>
      <c r="G9" s="27"/>
      <c r="H9" s="27"/>
    </row>
    <row r="10" customFormat="false" ht="30" hidden="false" customHeight="true" outlineLevel="0" collapsed="false">
      <c r="A10" s="18" t="s">
        <v>924</v>
      </c>
      <c r="B10" s="18" t="s">
        <v>925</v>
      </c>
      <c r="C10" s="19" t="s">
        <v>934</v>
      </c>
      <c r="D10" s="20" t="s">
        <v>935</v>
      </c>
      <c r="E10" s="31" t="n">
        <v>3</v>
      </c>
      <c r="F10" s="22" t="s">
        <v>181</v>
      </c>
      <c r="G10" s="20"/>
      <c r="H10" s="20"/>
    </row>
    <row r="11" customFormat="false" ht="30" hidden="false" customHeight="true" outlineLevel="0" collapsed="false">
      <c r="A11" s="25" t="s">
        <v>924</v>
      </c>
      <c r="B11" s="25" t="s">
        <v>925</v>
      </c>
      <c r="C11" s="26" t="s">
        <v>936</v>
      </c>
      <c r="D11" s="27" t="s">
        <v>937</v>
      </c>
      <c r="E11" s="31" t="n">
        <v>3</v>
      </c>
      <c r="F11" s="22" t="s">
        <v>181</v>
      </c>
      <c r="G11" s="27"/>
      <c r="H11" s="27"/>
    </row>
    <row r="12" customFormat="false" ht="30" hidden="false" customHeight="true" outlineLevel="0" collapsed="false">
      <c r="A12" s="18" t="s">
        <v>924</v>
      </c>
      <c r="B12" s="18" t="s">
        <v>925</v>
      </c>
      <c r="C12" s="19" t="s">
        <v>938</v>
      </c>
      <c r="D12" s="20" t="s">
        <v>939</v>
      </c>
      <c r="E12" s="31" t="n">
        <v>3</v>
      </c>
      <c r="F12" s="22" t="s">
        <v>181</v>
      </c>
      <c r="G12" s="20"/>
      <c r="H12" s="20"/>
    </row>
    <row r="13" customFormat="false" ht="30" hidden="false" customHeight="true" outlineLevel="0" collapsed="false">
      <c r="A13" s="25" t="s">
        <v>924</v>
      </c>
      <c r="B13" s="25" t="s">
        <v>925</v>
      </c>
      <c r="C13" s="26" t="s">
        <v>940</v>
      </c>
      <c r="D13" s="27" t="s">
        <v>941</v>
      </c>
      <c r="E13" s="31" t="n">
        <v>3</v>
      </c>
      <c r="F13" s="22" t="s">
        <v>181</v>
      </c>
      <c r="G13" s="27"/>
      <c r="H13" s="27"/>
    </row>
    <row r="14" customFormat="false" ht="18" hidden="false" customHeight="true" outlineLevel="0" collapsed="false">
      <c r="A14" s="17" t="s">
        <v>942</v>
      </c>
      <c r="B14" s="17" t="s">
        <v>943</v>
      </c>
      <c r="C14" s="17"/>
      <c r="D14" s="17"/>
      <c r="E14" s="17"/>
      <c r="F14" s="17"/>
      <c r="G14" s="17"/>
      <c r="H14" s="17"/>
    </row>
    <row r="15" customFormat="false" ht="30" hidden="false" customHeight="true" outlineLevel="0" collapsed="false">
      <c r="A15" s="18" t="s">
        <v>942</v>
      </c>
      <c r="B15" s="18" t="s">
        <v>943</v>
      </c>
      <c r="C15" s="19" t="s">
        <v>944</v>
      </c>
      <c r="D15" s="20" t="s">
        <v>945</v>
      </c>
      <c r="E15" s="30" t="n">
        <v>1</v>
      </c>
      <c r="F15" s="22" t="s">
        <v>181</v>
      </c>
      <c r="G15" s="20"/>
      <c r="H15" s="20"/>
    </row>
    <row r="16" customFormat="false" ht="30" hidden="false" customHeight="true" outlineLevel="0" collapsed="false">
      <c r="A16" s="25" t="s">
        <v>942</v>
      </c>
      <c r="B16" s="25" t="s">
        <v>943</v>
      </c>
      <c r="C16" s="26" t="s">
        <v>946</v>
      </c>
      <c r="D16" s="27" t="s">
        <v>947</v>
      </c>
      <c r="E16" s="21" t="n">
        <v>2</v>
      </c>
      <c r="F16" s="22" t="s">
        <v>181</v>
      </c>
      <c r="G16" s="27"/>
      <c r="H16" s="27"/>
    </row>
    <row r="17" customFormat="false" ht="30" hidden="false" customHeight="true" outlineLevel="0" collapsed="false">
      <c r="A17" s="18" t="s">
        <v>942</v>
      </c>
      <c r="B17" s="18" t="s">
        <v>943</v>
      </c>
      <c r="C17" s="19" t="s">
        <v>948</v>
      </c>
      <c r="D17" s="20" t="s">
        <v>949</v>
      </c>
      <c r="E17" s="21" t="n">
        <v>2</v>
      </c>
      <c r="F17" s="22" t="s">
        <v>181</v>
      </c>
      <c r="G17" s="20"/>
      <c r="H17" s="20"/>
    </row>
  </sheetData>
  <conditionalFormatting sqref="F2:F17">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7"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950</v>
      </c>
      <c r="B2" s="17" t="s">
        <v>951</v>
      </c>
      <c r="C2" s="17"/>
      <c r="D2" s="17"/>
      <c r="E2" s="17"/>
      <c r="F2" s="17"/>
      <c r="G2" s="17"/>
      <c r="H2" s="17"/>
    </row>
    <row r="3" customFormat="false" ht="30" hidden="false" customHeight="true" outlineLevel="0" collapsed="false">
      <c r="A3" s="18" t="s">
        <v>950</v>
      </c>
      <c r="B3" s="18" t="s">
        <v>951</v>
      </c>
      <c r="C3" s="19" t="s">
        <v>952</v>
      </c>
      <c r="D3" s="20" t="s">
        <v>953</v>
      </c>
      <c r="E3" s="30" t="n">
        <v>1</v>
      </c>
      <c r="F3" s="22" t="s">
        <v>181</v>
      </c>
      <c r="G3" s="20"/>
      <c r="H3" s="20"/>
    </row>
    <row r="4" customFormat="false" ht="30" hidden="false" customHeight="true" outlineLevel="0" collapsed="false">
      <c r="A4" s="25" t="s">
        <v>950</v>
      </c>
      <c r="B4" s="25" t="s">
        <v>951</v>
      </c>
      <c r="C4" s="26" t="s">
        <v>954</v>
      </c>
      <c r="D4" s="27" t="s">
        <v>955</v>
      </c>
      <c r="E4" s="21" t="n">
        <v>2</v>
      </c>
      <c r="F4" s="22" t="s">
        <v>181</v>
      </c>
      <c r="G4" s="27"/>
      <c r="H4" s="27"/>
    </row>
    <row r="5" customFormat="false" ht="30" hidden="false" customHeight="true" outlineLevel="0" collapsed="false">
      <c r="A5" s="18" t="s">
        <v>950</v>
      </c>
      <c r="B5" s="18" t="s">
        <v>951</v>
      </c>
      <c r="C5" s="19" t="s">
        <v>956</v>
      </c>
      <c r="D5" s="20" t="s">
        <v>957</v>
      </c>
      <c r="E5" s="21" t="n">
        <v>2</v>
      </c>
      <c r="F5" s="22" t="s">
        <v>181</v>
      </c>
      <c r="G5" s="20"/>
      <c r="H5" s="20"/>
    </row>
    <row r="6" customFormat="false" ht="30" hidden="false" customHeight="true" outlineLevel="0" collapsed="false">
      <c r="A6" s="25" t="s">
        <v>950</v>
      </c>
      <c r="B6" s="25" t="s">
        <v>951</v>
      </c>
      <c r="C6" s="26" t="s">
        <v>958</v>
      </c>
      <c r="D6" s="27" t="s">
        <v>959</v>
      </c>
      <c r="E6" s="31" t="n">
        <v>3</v>
      </c>
      <c r="F6" s="22" t="s">
        <v>181</v>
      </c>
      <c r="G6" s="27"/>
      <c r="H6" s="27"/>
    </row>
    <row r="7" customFormat="false" ht="30" hidden="false" customHeight="true" outlineLevel="0" collapsed="false">
      <c r="A7" s="18" t="s">
        <v>950</v>
      </c>
      <c r="B7" s="18" t="s">
        <v>951</v>
      </c>
      <c r="C7" s="19" t="s">
        <v>960</v>
      </c>
      <c r="D7" s="20" t="s">
        <v>961</v>
      </c>
      <c r="E7" s="31" t="n">
        <v>3</v>
      </c>
      <c r="F7" s="22" t="s">
        <v>181</v>
      </c>
      <c r="G7" s="20"/>
      <c r="H7" s="20"/>
    </row>
    <row r="8" customFormat="false" ht="18" hidden="false" customHeight="true" outlineLevel="0" collapsed="false">
      <c r="A8" s="17" t="s">
        <v>962</v>
      </c>
      <c r="B8" s="17" t="s">
        <v>963</v>
      </c>
      <c r="C8" s="17"/>
      <c r="D8" s="17"/>
      <c r="E8" s="17"/>
      <c r="F8" s="17"/>
      <c r="G8" s="17"/>
      <c r="H8" s="17"/>
    </row>
    <row r="9" customFormat="false" ht="30" hidden="false" customHeight="true" outlineLevel="0" collapsed="false">
      <c r="A9" s="18" t="s">
        <v>962</v>
      </c>
      <c r="B9" s="18" t="s">
        <v>963</v>
      </c>
      <c r="C9" s="19" t="s">
        <v>964</v>
      </c>
      <c r="D9" s="20" t="s">
        <v>965</v>
      </c>
      <c r="E9" s="30" t="n">
        <v>1</v>
      </c>
      <c r="F9" s="22" t="s">
        <v>181</v>
      </c>
      <c r="G9" s="20"/>
      <c r="H9" s="20"/>
    </row>
    <row r="10" customFormat="false" ht="30" hidden="false" customHeight="true" outlineLevel="0" collapsed="false">
      <c r="A10" s="25" t="s">
        <v>962</v>
      </c>
      <c r="B10" s="25" t="s">
        <v>963</v>
      </c>
      <c r="C10" s="26" t="s">
        <v>966</v>
      </c>
      <c r="D10" s="27" t="s">
        <v>967</v>
      </c>
      <c r="E10" s="21" t="n">
        <v>2</v>
      </c>
      <c r="F10" s="22" t="s">
        <v>181</v>
      </c>
      <c r="G10" s="27"/>
      <c r="H10" s="27"/>
    </row>
    <row r="11" customFormat="false" ht="30" hidden="false" customHeight="true" outlineLevel="0" collapsed="false">
      <c r="A11" s="18" t="s">
        <v>962</v>
      </c>
      <c r="B11" s="18" t="s">
        <v>963</v>
      </c>
      <c r="C11" s="19" t="s">
        <v>968</v>
      </c>
      <c r="D11" s="20" t="s">
        <v>969</v>
      </c>
      <c r="E11" s="21" t="n">
        <v>2</v>
      </c>
      <c r="F11" s="22" t="s">
        <v>181</v>
      </c>
      <c r="G11" s="20"/>
      <c r="H11" s="20"/>
    </row>
    <row r="12" customFormat="false" ht="30" hidden="false" customHeight="true" outlineLevel="0" collapsed="false">
      <c r="A12" s="25" t="s">
        <v>962</v>
      </c>
      <c r="B12" s="25" t="s">
        <v>963</v>
      </c>
      <c r="C12" s="26" t="s">
        <v>970</v>
      </c>
      <c r="D12" s="27" t="s">
        <v>971</v>
      </c>
      <c r="E12" s="31" t="n">
        <v>3</v>
      </c>
      <c r="F12" s="22" t="s">
        <v>181</v>
      </c>
      <c r="G12" s="27"/>
      <c r="H12" s="27"/>
    </row>
    <row r="13" customFormat="false" ht="30" hidden="false" customHeight="true" outlineLevel="0" collapsed="false">
      <c r="A13" s="18" t="s">
        <v>962</v>
      </c>
      <c r="B13" s="18" t="s">
        <v>963</v>
      </c>
      <c r="C13" s="19" t="s">
        <v>972</v>
      </c>
      <c r="D13" s="20" t="s">
        <v>973</v>
      </c>
      <c r="E13" s="31" t="n">
        <v>3</v>
      </c>
      <c r="F13" s="22" t="s">
        <v>181</v>
      </c>
      <c r="G13" s="20"/>
      <c r="H13" s="20"/>
    </row>
    <row r="14" customFormat="false" ht="18" hidden="false" customHeight="true" outlineLevel="0" collapsed="false">
      <c r="A14" s="17" t="s">
        <v>974</v>
      </c>
      <c r="B14" s="17" t="s">
        <v>975</v>
      </c>
      <c r="C14" s="17"/>
      <c r="D14" s="17"/>
      <c r="E14" s="17"/>
      <c r="F14" s="17"/>
      <c r="G14" s="17"/>
      <c r="H14" s="17"/>
    </row>
    <row r="15" customFormat="false" ht="30" hidden="false" customHeight="true" outlineLevel="0" collapsed="false">
      <c r="A15" s="18" t="s">
        <v>974</v>
      </c>
      <c r="B15" s="18" t="s">
        <v>975</v>
      </c>
      <c r="C15" s="19" t="s">
        <v>976</v>
      </c>
      <c r="D15" s="20" t="s">
        <v>977</v>
      </c>
      <c r="E15" s="30" t="n">
        <v>1</v>
      </c>
      <c r="F15" s="22" t="s">
        <v>181</v>
      </c>
      <c r="G15" s="20"/>
      <c r="H15" s="20"/>
    </row>
    <row r="16" customFormat="false" ht="30" hidden="false" customHeight="true" outlineLevel="0" collapsed="false">
      <c r="A16" s="25" t="s">
        <v>974</v>
      </c>
      <c r="B16" s="25" t="s">
        <v>975</v>
      </c>
      <c r="C16" s="26" t="s">
        <v>978</v>
      </c>
      <c r="D16" s="27" t="s">
        <v>979</v>
      </c>
      <c r="E16" s="21" t="n">
        <v>2</v>
      </c>
      <c r="F16" s="22" t="s">
        <v>181</v>
      </c>
      <c r="G16" s="27"/>
      <c r="H16" s="27"/>
    </row>
    <row r="17" customFormat="false" ht="30" hidden="false" customHeight="true" outlineLevel="0" collapsed="false">
      <c r="A17" s="18" t="s">
        <v>974</v>
      </c>
      <c r="B17" s="18" t="s">
        <v>975</v>
      </c>
      <c r="C17" s="19" t="s">
        <v>980</v>
      </c>
      <c r="D17" s="20" t="s">
        <v>981</v>
      </c>
      <c r="E17" s="21" t="n">
        <v>2</v>
      </c>
      <c r="F17" s="22" t="s">
        <v>181</v>
      </c>
      <c r="G17" s="20"/>
      <c r="H17" s="20"/>
    </row>
    <row r="18" customFormat="false" ht="30" hidden="false" customHeight="true" outlineLevel="0" collapsed="false">
      <c r="A18" s="25" t="s">
        <v>974</v>
      </c>
      <c r="B18" s="25" t="s">
        <v>975</v>
      </c>
      <c r="C18" s="26" t="s">
        <v>982</v>
      </c>
      <c r="D18" s="27" t="s">
        <v>983</v>
      </c>
      <c r="E18" s="21" t="n">
        <v>2</v>
      </c>
      <c r="F18" s="22" t="s">
        <v>181</v>
      </c>
      <c r="G18" s="27"/>
      <c r="H18" s="27"/>
    </row>
    <row r="19" customFormat="false" ht="30" hidden="false" customHeight="true" outlineLevel="0" collapsed="false">
      <c r="A19" s="18" t="s">
        <v>974</v>
      </c>
      <c r="B19" s="18" t="s">
        <v>975</v>
      </c>
      <c r="C19" s="19" t="s">
        <v>984</v>
      </c>
      <c r="D19" s="20" t="s">
        <v>985</v>
      </c>
      <c r="E19" s="21" t="n">
        <v>2</v>
      </c>
      <c r="F19" s="22" t="s">
        <v>181</v>
      </c>
      <c r="G19" s="20"/>
      <c r="H19" s="20"/>
    </row>
    <row r="20" customFormat="false" ht="30" hidden="false" customHeight="true" outlineLevel="0" collapsed="false">
      <c r="A20" s="25" t="s">
        <v>974</v>
      </c>
      <c r="B20" s="25" t="s">
        <v>975</v>
      </c>
      <c r="C20" s="26" t="s">
        <v>986</v>
      </c>
      <c r="D20" s="27" t="s">
        <v>987</v>
      </c>
      <c r="E20" s="21" t="n">
        <v>2</v>
      </c>
      <c r="F20" s="22" t="s">
        <v>181</v>
      </c>
      <c r="G20" s="27"/>
      <c r="H20" s="27"/>
    </row>
    <row r="21" customFormat="false" ht="30" hidden="false" customHeight="true" outlineLevel="0" collapsed="false">
      <c r="A21" s="18" t="s">
        <v>974</v>
      </c>
      <c r="B21" s="18" t="s">
        <v>975</v>
      </c>
      <c r="C21" s="19" t="s">
        <v>988</v>
      </c>
      <c r="D21" s="20" t="s">
        <v>989</v>
      </c>
      <c r="E21" s="21" t="n">
        <v>2</v>
      </c>
      <c r="F21" s="22" t="s">
        <v>181</v>
      </c>
      <c r="G21" s="20"/>
      <c r="H21" s="20"/>
    </row>
    <row r="22" customFormat="false" ht="18" hidden="false" customHeight="true" outlineLevel="0" collapsed="false">
      <c r="A22" s="17" t="s">
        <v>990</v>
      </c>
      <c r="B22" s="17" t="s">
        <v>991</v>
      </c>
      <c r="C22" s="17"/>
      <c r="D22" s="17"/>
      <c r="E22" s="17"/>
      <c r="F22" s="17"/>
      <c r="G22" s="17"/>
      <c r="H22" s="17"/>
    </row>
    <row r="23" customFormat="false" ht="30" hidden="false" customHeight="true" outlineLevel="0" collapsed="false">
      <c r="A23" s="18" t="s">
        <v>990</v>
      </c>
      <c r="B23" s="18" t="s">
        <v>991</v>
      </c>
      <c r="C23" s="19" t="s">
        <v>992</v>
      </c>
      <c r="D23" s="20" t="s">
        <v>993</v>
      </c>
      <c r="E23" s="31" t="n">
        <v>3</v>
      </c>
      <c r="F23" s="22" t="s">
        <v>181</v>
      </c>
      <c r="G23" s="20"/>
      <c r="H23" s="20"/>
    </row>
    <row r="24" customFormat="false" ht="30" hidden="false" customHeight="true" outlineLevel="0" collapsed="false">
      <c r="A24" s="25" t="s">
        <v>990</v>
      </c>
      <c r="B24" s="25" t="s">
        <v>991</v>
      </c>
      <c r="C24" s="26" t="s">
        <v>994</v>
      </c>
      <c r="D24" s="27" t="s">
        <v>995</v>
      </c>
      <c r="E24" s="31" t="n">
        <v>3</v>
      </c>
      <c r="F24" s="22" t="s">
        <v>181</v>
      </c>
      <c r="G24" s="27"/>
      <c r="H24" s="27"/>
    </row>
    <row r="25" customFormat="false" ht="30" hidden="false" customHeight="true" outlineLevel="0" collapsed="false">
      <c r="A25" s="18" t="s">
        <v>990</v>
      </c>
      <c r="B25" s="18" t="s">
        <v>991</v>
      </c>
      <c r="C25" s="19" t="s">
        <v>996</v>
      </c>
      <c r="D25" s="20" t="s">
        <v>997</v>
      </c>
      <c r="E25" s="31" t="n">
        <v>3</v>
      </c>
      <c r="F25" s="22" t="s">
        <v>181</v>
      </c>
      <c r="G25" s="20"/>
      <c r="H25" s="20"/>
    </row>
    <row r="26" customFormat="false" ht="30" hidden="false" customHeight="true" outlineLevel="0" collapsed="false">
      <c r="A26" s="25" t="s">
        <v>990</v>
      </c>
      <c r="B26" s="25" t="s">
        <v>991</v>
      </c>
      <c r="C26" s="26" t="s">
        <v>998</v>
      </c>
      <c r="D26" s="27" t="s">
        <v>999</v>
      </c>
      <c r="E26" s="31" t="n">
        <v>3</v>
      </c>
      <c r="F26" s="22" t="s">
        <v>181</v>
      </c>
      <c r="G26" s="27"/>
      <c r="H26" s="27"/>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1000</v>
      </c>
      <c r="B2" s="17" t="s">
        <v>1001</v>
      </c>
      <c r="C2" s="17"/>
      <c r="D2" s="17"/>
      <c r="E2" s="17"/>
      <c r="F2" s="17"/>
      <c r="G2" s="17"/>
      <c r="H2" s="17"/>
    </row>
    <row r="3" customFormat="false" ht="30" hidden="false" customHeight="true" outlineLevel="0" collapsed="false">
      <c r="A3" s="18" t="s">
        <v>1000</v>
      </c>
      <c r="B3" s="18" t="s">
        <v>1001</v>
      </c>
      <c r="C3" s="19" t="s">
        <v>1002</v>
      </c>
      <c r="D3" s="20" t="s">
        <v>1003</v>
      </c>
      <c r="E3" s="21" t="n">
        <v>2</v>
      </c>
      <c r="F3" s="22" t="s">
        <v>181</v>
      </c>
      <c r="G3" s="20"/>
      <c r="H3" s="20"/>
    </row>
    <row r="4" customFormat="false" ht="18" hidden="false" customHeight="true" outlineLevel="0" collapsed="false">
      <c r="A4" s="17" t="s">
        <v>1004</v>
      </c>
      <c r="B4" s="17" t="s">
        <v>1005</v>
      </c>
      <c r="C4" s="17"/>
      <c r="D4" s="17"/>
      <c r="E4" s="17"/>
      <c r="F4" s="17"/>
      <c r="G4" s="17"/>
      <c r="H4" s="17"/>
    </row>
    <row r="5" customFormat="false" ht="30" hidden="false" customHeight="true" outlineLevel="0" collapsed="false">
      <c r="A5" s="18" t="s">
        <v>1004</v>
      </c>
      <c r="B5" s="18" t="s">
        <v>1005</v>
      </c>
      <c r="C5" s="19" t="s">
        <v>1006</v>
      </c>
      <c r="D5" s="20" t="s">
        <v>1007</v>
      </c>
      <c r="E5" s="21" t="n">
        <v>2</v>
      </c>
      <c r="F5" s="22" t="s">
        <v>181</v>
      </c>
      <c r="G5" s="20"/>
      <c r="H5" s="20"/>
    </row>
    <row r="6" customFormat="false" ht="30" hidden="false" customHeight="true" outlineLevel="0" collapsed="false">
      <c r="A6" s="25" t="s">
        <v>1004</v>
      </c>
      <c r="B6" s="25" t="s">
        <v>1005</v>
      </c>
      <c r="C6" s="26" t="s">
        <v>1008</v>
      </c>
      <c r="D6" s="27" t="s">
        <v>1009</v>
      </c>
      <c r="E6" s="21" t="n">
        <v>2</v>
      </c>
      <c r="F6" s="22" t="s">
        <v>181</v>
      </c>
      <c r="G6" s="27"/>
      <c r="H6" s="27"/>
    </row>
    <row r="7" customFormat="false" ht="30" hidden="false" customHeight="true" outlineLevel="0" collapsed="false">
      <c r="A7" s="18" t="s">
        <v>1004</v>
      </c>
      <c r="B7" s="18" t="s">
        <v>1005</v>
      </c>
      <c r="C7" s="19" t="s">
        <v>1010</v>
      </c>
      <c r="D7" s="20" t="s">
        <v>1011</v>
      </c>
      <c r="E7" s="21" t="n">
        <v>2</v>
      </c>
      <c r="F7" s="22" t="s">
        <v>181</v>
      </c>
      <c r="G7" s="20"/>
      <c r="H7" s="20"/>
    </row>
    <row r="8" customFormat="false" ht="30" hidden="false" customHeight="true" outlineLevel="0" collapsed="false">
      <c r="A8" s="25" t="s">
        <v>1004</v>
      </c>
      <c r="B8" s="25" t="s">
        <v>1005</v>
      </c>
      <c r="C8" s="26" t="s">
        <v>1012</v>
      </c>
      <c r="D8" s="27" t="s">
        <v>1013</v>
      </c>
      <c r="E8" s="21" t="n">
        <v>2</v>
      </c>
      <c r="F8" s="22" t="s">
        <v>181</v>
      </c>
      <c r="G8" s="27"/>
      <c r="H8" s="27"/>
    </row>
    <row r="9" customFormat="false" ht="30" hidden="false" customHeight="true" outlineLevel="0" collapsed="false">
      <c r="A9" s="18" t="s">
        <v>1004</v>
      </c>
      <c r="B9" s="18" t="s">
        <v>1005</v>
      </c>
      <c r="C9" s="19" t="s">
        <v>1014</v>
      </c>
      <c r="D9" s="20" t="s">
        <v>1015</v>
      </c>
      <c r="E9" s="21" t="n">
        <v>2</v>
      </c>
      <c r="F9" s="22" t="s">
        <v>181</v>
      </c>
      <c r="G9" s="20"/>
      <c r="H9" s="20"/>
    </row>
    <row r="10" customFormat="false" ht="18" hidden="false" customHeight="true" outlineLevel="0" collapsed="false">
      <c r="A10" s="17" t="s">
        <v>1016</v>
      </c>
      <c r="B10" s="17" t="s">
        <v>1017</v>
      </c>
      <c r="C10" s="17"/>
      <c r="D10" s="17"/>
      <c r="E10" s="17"/>
      <c r="F10" s="17"/>
      <c r="G10" s="17"/>
      <c r="H10" s="17"/>
    </row>
    <row r="11" customFormat="false" ht="30" hidden="false" customHeight="true" outlineLevel="0" collapsed="false">
      <c r="A11" s="18" t="s">
        <v>1016</v>
      </c>
      <c r="B11" s="18" t="s">
        <v>1017</v>
      </c>
      <c r="C11" s="19" t="s">
        <v>1018</v>
      </c>
      <c r="D11" s="20" t="s">
        <v>1019</v>
      </c>
      <c r="E11" s="21" t="n">
        <v>2</v>
      </c>
      <c r="F11" s="22" t="s">
        <v>181</v>
      </c>
      <c r="G11" s="20"/>
      <c r="H11" s="20"/>
    </row>
    <row r="12" customFormat="false" ht="30" hidden="false" customHeight="true" outlineLevel="0" collapsed="false">
      <c r="A12" s="25" t="s">
        <v>1016</v>
      </c>
      <c r="B12" s="25" t="s">
        <v>1017</v>
      </c>
      <c r="C12" s="26" t="s">
        <v>1020</v>
      </c>
      <c r="D12" s="27" t="s">
        <v>1021</v>
      </c>
      <c r="E12" s="21" t="n">
        <v>2</v>
      </c>
      <c r="F12" s="22" t="s">
        <v>181</v>
      </c>
      <c r="G12" s="27"/>
      <c r="H12" s="27"/>
    </row>
    <row r="13" customFormat="false" ht="30" hidden="false" customHeight="true" outlineLevel="0" collapsed="false">
      <c r="A13" s="18" t="s">
        <v>1016</v>
      </c>
      <c r="B13" s="18" t="s">
        <v>1017</v>
      </c>
      <c r="C13" s="19" t="s">
        <v>1022</v>
      </c>
      <c r="D13" s="20" t="s">
        <v>1023</v>
      </c>
      <c r="E13" s="21" t="n">
        <v>2</v>
      </c>
      <c r="F13" s="22" t="s">
        <v>181</v>
      </c>
      <c r="G13" s="20"/>
      <c r="H13" s="20"/>
    </row>
    <row r="14" customFormat="false" ht="30" hidden="false" customHeight="true" outlineLevel="0" collapsed="false">
      <c r="A14" s="25" t="s">
        <v>1016</v>
      </c>
      <c r="B14" s="25" t="s">
        <v>1017</v>
      </c>
      <c r="C14" s="26" t="s">
        <v>1024</v>
      </c>
      <c r="D14" s="27" t="s">
        <v>1025</v>
      </c>
      <c r="E14" s="21" t="n">
        <v>2</v>
      </c>
      <c r="F14" s="22" t="s">
        <v>181</v>
      </c>
      <c r="G14" s="27"/>
      <c r="H14" s="27"/>
    </row>
    <row r="15" customFormat="false" ht="18" hidden="false" customHeight="true" outlineLevel="0" collapsed="false">
      <c r="A15" s="17" t="s">
        <v>1026</v>
      </c>
      <c r="B15" s="17" t="s">
        <v>1027</v>
      </c>
      <c r="C15" s="17"/>
      <c r="D15" s="17"/>
      <c r="E15" s="17"/>
      <c r="F15" s="17"/>
      <c r="G15" s="17"/>
      <c r="H15" s="17"/>
    </row>
    <row r="16" customFormat="false" ht="30" hidden="false" customHeight="true" outlineLevel="0" collapsed="false">
      <c r="A16" s="18" t="s">
        <v>1026</v>
      </c>
      <c r="B16" s="18" t="s">
        <v>1027</v>
      </c>
      <c r="C16" s="19" t="s">
        <v>1028</v>
      </c>
      <c r="D16" s="20" t="s">
        <v>1029</v>
      </c>
      <c r="E16" s="21" t="n">
        <v>2</v>
      </c>
      <c r="F16" s="22" t="s">
        <v>181</v>
      </c>
      <c r="G16" s="20"/>
      <c r="H16" s="20"/>
    </row>
    <row r="17" customFormat="false" ht="30" hidden="false" customHeight="true" outlineLevel="0" collapsed="false">
      <c r="A17" s="25" t="s">
        <v>1026</v>
      </c>
      <c r="B17" s="25" t="s">
        <v>1027</v>
      </c>
      <c r="C17" s="26" t="s">
        <v>1030</v>
      </c>
      <c r="D17" s="27" t="s">
        <v>1031</v>
      </c>
      <c r="E17" s="21" t="n">
        <v>2</v>
      </c>
      <c r="F17" s="22" t="s">
        <v>181</v>
      </c>
      <c r="G17" s="27"/>
      <c r="H17" s="27"/>
    </row>
    <row r="18" customFormat="false" ht="30" hidden="false" customHeight="true" outlineLevel="0" collapsed="false">
      <c r="A18" s="18" t="s">
        <v>1026</v>
      </c>
      <c r="B18" s="18" t="s">
        <v>1027</v>
      </c>
      <c r="C18" s="19" t="s">
        <v>1032</v>
      </c>
      <c r="D18" s="20" t="s">
        <v>1033</v>
      </c>
      <c r="E18" s="21" t="n">
        <v>2</v>
      </c>
      <c r="F18" s="22" t="s">
        <v>181</v>
      </c>
      <c r="G18" s="20"/>
      <c r="H18" s="20"/>
    </row>
    <row r="19" customFormat="false" ht="18" hidden="false" customHeight="true" outlineLevel="0" collapsed="false">
      <c r="A19" s="17" t="s">
        <v>1034</v>
      </c>
      <c r="B19" s="17" t="s">
        <v>1035</v>
      </c>
      <c r="C19" s="17"/>
      <c r="D19" s="17"/>
      <c r="E19" s="17"/>
      <c r="F19" s="17"/>
      <c r="G19" s="17"/>
      <c r="H19" s="17"/>
    </row>
    <row r="20" customFormat="false" ht="30" hidden="false" customHeight="true" outlineLevel="0" collapsed="false">
      <c r="A20" s="18" t="s">
        <v>1034</v>
      </c>
      <c r="B20" s="18" t="s">
        <v>1035</v>
      </c>
      <c r="C20" s="19" t="s">
        <v>1036</v>
      </c>
      <c r="D20" s="20" t="s">
        <v>1037</v>
      </c>
      <c r="E20" s="21" t="n">
        <v>2</v>
      </c>
      <c r="F20" s="22" t="s">
        <v>181</v>
      </c>
      <c r="G20" s="20"/>
      <c r="H20" s="20"/>
    </row>
    <row r="21" customFormat="false" ht="30" hidden="false" customHeight="true" outlineLevel="0" collapsed="false">
      <c r="A21" s="25" t="s">
        <v>1034</v>
      </c>
      <c r="B21" s="25" t="s">
        <v>1035</v>
      </c>
      <c r="C21" s="26" t="s">
        <v>1038</v>
      </c>
      <c r="D21" s="27" t="s">
        <v>1039</v>
      </c>
      <c r="E21" s="21" t="n">
        <v>2</v>
      </c>
      <c r="F21" s="22" t="s">
        <v>181</v>
      </c>
      <c r="G21" s="27"/>
      <c r="H21" s="27"/>
    </row>
    <row r="22" customFormat="false" ht="30" hidden="false" customHeight="true" outlineLevel="0" collapsed="false">
      <c r="A22" s="18" t="s">
        <v>1034</v>
      </c>
      <c r="B22" s="18" t="s">
        <v>1035</v>
      </c>
      <c r="C22" s="19" t="s">
        <v>1040</v>
      </c>
      <c r="D22" s="20" t="s">
        <v>1041</v>
      </c>
      <c r="E22" s="21" t="n">
        <v>2</v>
      </c>
      <c r="F22" s="22" t="s">
        <v>181</v>
      </c>
      <c r="G22" s="20"/>
      <c r="H22" s="20"/>
    </row>
    <row r="23" customFormat="false" ht="30" hidden="false" customHeight="true" outlineLevel="0" collapsed="false">
      <c r="A23" s="25" t="s">
        <v>1034</v>
      </c>
      <c r="B23" s="25" t="s">
        <v>1035</v>
      </c>
      <c r="C23" s="26" t="s">
        <v>1042</v>
      </c>
      <c r="D23" s="27" t="s">
        <v>1043</v>
      </c>
      <c r="E23" s="31" t="n">
        <v>3</v>
      </c>
      <c r="F23" s="22" t="s">
        <v>181</v>
      </c>
      <c r="G23" s="27"/>
      <c r="H23" s="27"/>
    </row>
  </sheetData>
  <conditionalFormatting sqref="F2:F23">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3"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73" zoomScaleNormal="73"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1044</v>
      </c>
      <c r="B2" s="17" t="s">
        <v>1045</v>
      </c>
      <c r="C2" s="17"/>
      <c r="D2" s="17"/>
      <c r="E2" s="17"/>
      <c r="F2" s="17"/>
      <c r="G2" s="17"/>
      <c r="H2" s="17"/>
    </row>
    <row r="3" customFormat="false" ht="30" hidden="false" customHeight="true" outlineLevel="0" collapsed="false">
      <c r="A3" s="18" t="s">
        <v>1044</v>
      </c>
      <c r="B3" s="18" t="s">
        <v>1045</v>
      </c>
      <c r="C3" s="19" t="s">
        <v>1046</v>
      </c>
      <c r="D3" s="20" t="s">
        <v>1047</v>
      </c>
      <c r="E3" s="21" t="n">
        <v>2</v>
      </c>
      <c r="F3" s="22" t="s">
        <v>181</v>
      </c>
      <c r="G3" s="20"/>
      <c r="H3" s="20"/>
    </row>
    <row r="4" customFormat="false" ht="30" hidden="false" customHeight="true" outlineLevel="0" collapsed="false">
      <c r="A4" s="25" t="s">
        <v>1044</v>
      </c>
      <c r="B4" s="25" t="s">
        <v>1045</v>
      </c>
      <c r="C4" s="26" t="s">
        <v>1048</v>
      </c>
      <c r="D4" s="27" t="s">
        <v>1049</v>
      </c>
      <c r="E4" s="31" t="n">
        <v>3</v>
      </c>
      <c r="F4" s="22" t="s">
        <v>181</v>
      </c>
      <c r="G4" s="27"/>
      <c r="H4" s="27"/>
    </row>
    <row r="5" customFormat="false" ht="18" hidden="false" customHeight="true" outlineLevel="0" collapsed="false">
      <c r="A5" s="17" t="s">
        <v>1050</v>
      </c>
      <c r="B5" s="17" t="s">
        <v>1051</v>
      </c>
      <c r="C5" s="17"/>
      <c r="D5" s="17"/>
      <c r="E5" s="17"/>
      <c r="F5" s="17"/>
      <c r="G5" s="17"/>
      <c r="H5" s="17"/>
    </row>
    <row r="6" customFormat="false" ht="30" hidden="false" customHeight="true" outlineLevel="0" collapsed="false">
      <c r="A6" s="18" t="s">
        <v>1050</v>
      </c>
      <c r="B6" s="18" t="s">
        <v>1051</v>
      </c>
      <c r="C6" s="19" t="s">
        <v>1052</v>
      </c>
      <c r="D6" s="20" t="s">
        <v>1053</v>
      </c>
      <c r="E6" s="21" t="n">
        <v>2</v>
      </c>
      <c r="F6" s="22" t="s">
        <v>181</v>
      </c>
      <c r="G6" s="20"/>
      <c r="H6" s="20"/>
    </row>
    <row r="7" customFormat="false" ht="30" hidden="false" customHeight="true" outlineLevel="0" collapsed="false">
      <c r="A7" s="25" t="s">
        <v>1050</v>
      </c>
      <c r="B7" s="25" t="s">
        <v>1051</v>
      </c>
      <c r="C7" s="26" t="s">
        <v>1054</v>
      </c>
      <c r="D7" s="27" t="s">
        <v>1055</v>
      </c>
      <c r="E7" s="21" t="n">
        <v>2</v>
      </c>
      <c r="F7" s="22" t="s">
        <v>181</v>
      </c>
      <c r="G7" s="27"/>
      <c r="H7" s="27"/>
    </row>
    <row r="8" customFormat="false" ht="30" hidden="false" customHeight="true" outlineLevel="0" collapsed="false">
      <c r="A8" s="18" t="s">
        <v>1050</v>
      </c>
      <c r="B8" s="18" t="s">
        <v>1051</v>
      </c>
      <c r="C8" s="19" t="s">
        <v>1056</v>
      </c>
      <c r="D8" s="20" t="s">
        <v>1057</v>
      </c>
      <c r="E8" s="21" t="n">
        <v>2</v>
      </c>
      <c r="F8" s="22" t="s">
        <v>181</v>
      </c>
      <c r="G8" s="20"/>
      <c r="H8" s="20"/>
    </row>
    <row r="9" customFormat="false" ht="30" hidden="false" customHeight="true" outlineLevel="0" collapsed="false">
      <c r="A9" s="25" t="s">
        <v>1050</v>
      </c>
      <c r="B9" s="25" t="s">
        <v>1051</v>
      </c>
      <c r="C9" s="26" t="s">
        <v>1058</v>
      </c>
      <c r="D9" s="27" t="s">
        <v>1059</v>
      </c>
      <c r="E9" s="21" t="n">
        <v>2</v>
      </c>
      <c r="F9" s="22" t="s">
        <v>181</v>
      </c>
      <c r="G9" s="27"/>
      <c r="H9" s="27"/>
    </row>
    <row r="10" customFormat="false" ht="30" hidden="false" customHeight="true" outlineLevel="0" collapsed="false">
      <c r="A10" s="18" t="s">
        <v>1050</v>
      </c>
      <c r="B10" s="18" t="s">
        <v>1051</v>
      </c>
      <c r="C10" s="19" t="s">
        <v>1060</v>
      </c>
      <c r="D10" s="20" t="s">
        <v>1061</v>
      </c>
      <c r="E10" s="31" t="n">
        <v>3</v>
      </c>
      <c r="F10" s="22" t="s">
        <v>181</v>
      </c>
      <c r="G10" s="20"/>
      <c r="H10" s="20"/>
    </row>
    <row r="11" customFormat="false" ht="30" hidden="false" customHeight="true" outlineLevel="0" collapsed="false">
      <c r="A11" s="25" t="s">
        <v>1050</v>
      </c>
      <c r="B11" s="25" t="s">
        <v>1051</v>
      </c>
      <c r="C11" s="26" t="s">
        <v>1062</v>
      </c>
      <c r="D11" s="27" t="s">
        <v>1063</v>
      </c>
      <c r="E11" s="31" t="n">
        <v>3</v>
      </c>
      <c r="F11" s="22" t="s">
        <v>181</v>
      </c>
      <c r="G11" s="27"/>
      <c r="H11" s="27"/>
    </row>
    <row r="12" customFormat="false" ht="30" hidden="false" customHeight="true" outlineLevel="0" collapsed="false">
      <c r="A12" s="18" t="s">
        <v>1050</v>
      </c>
      <c r="B12" s="18" t="s">
        <v>1051</v>
      </c>
      <c r="C12" s="19" t="s">
        <v>1064</v>
      </c>
      <c r="D12" s="20" t="s">
        <v>1065</v>
      </c>
      <c r="E12" s="31" t="n">
        <v>3</v>
      </c>
      <c r="F12" s="22" t="s">
        <v>181</v>
      </c>
      <c r="G12" s="20"/>
      <c r="H12" s="20"/>
    </row>
    <row r="13" customFormat="false" ht="30" hidden="false" customHeight="true" outlineLevel="0" collapsed="false">
      <c r="A13" s="25" t="s">
        <v>1050</v>
      </c>
      <c r="B13" s="25" t="s">
        <v>1051</v>
      </c>
      <c r="C13" s="26" t="s">
        <v>1066</v>
      </c>
      <c r="D13" s="27" t="s">
        <v>1067</v>
      </c>
      <c r="E13" s="31" t="n">
        <v>3</v>
      </c>
      <c r="F13" s="22" t="s">
        <v>181</v>
      </c>
      <c r="G13" s="27"/>
      <c r="H13" s="27"/>
    </row>
    <row r="14" customFormat="false" ht="18" hidden="false" customHeight="true" outlineLevel="0" collapsed="false">
      <c r="A14" s="17" t="s">
        <v>1068</v>
      </c>
      <c r="B14" s="17" t="s">
        <v>1069</v>
      </c>
      <c r="C14" s="17"/>
      <c r="D14" s="17"/>
      <c r="E14" s="17"/>
      <c r="F14" s="17"/>
      <c r="G14" s="17"/>
      <c r="H14" s="17"/>
    </row>
    <row r="15" customFormat="false" ht="30" hidden="false" customHeight="true" outlineLevel="0" collapsed="false">
      <c r="A15" s="18" t="s">
        <v>1068</v>
      </c>
      <c r="B15" s="18" t="s">
        <v>1069</v>
      </c>
      <c r="C15" s="19" t="s">
        <v>1070</v>
      </c>
      <c r="D15" s="20" t="s">
        <v>1071</v>
      </c>
      <c r="E15" s="21" t="n">
        <v>2</v>
      </c>
      <c r="F15" s="22" t="s">
        <v>181</v>
      </c>
      <c r="G15" s="20"/>
      <c r="H15" s="20"/>
    </row>
    <row r="16" customFormat="false" ht="30" hidden="false" customHeight="true" outlineLevel="0" collapsed="false">
      <c r="A16" s="25" t="s">
        <v>1068</v>
      </c>
      <c r="B16" s="25" t="s">
        <v>1069</v>
      </c>
      <c r="C16" s="26" t="s">
        <v>1072</v>
      </c>
      <c r="D16" s="27" t="s">
        <v>1073</v>
      </c>
      <c r="E16" s="21" t="n">
        <v>2</v>
      </c>
      <c r="F16" s="22" t="s">
        <v>181</v>
      </c>
      <c r="G16" s="27"/>
      <c r="H16" s="27"/>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345</TotalTime>
  <Application>LibreOffice/26.2.3.2$Linux_X86_64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2026-03-04T10:14:28Z</dcterms:created>
  <dc:creator>openpyxl</dc:creator>
  <dc:description/>
  <dc:language>pt-PT</dc:language>
  <cp:lastModifiedBy/>
  <dcterms:modified xsi:type="dcterms:W3CDTF">2026-05-18T13:55:05Z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