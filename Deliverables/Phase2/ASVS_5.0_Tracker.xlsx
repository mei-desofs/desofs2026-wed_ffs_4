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mc:AlternateContent xmlns:mc="http://schemas.openxmlformats.org/markup-compatibility/2006">
    <mc:Choice Requires="x15">
      <x15ac:absPath xmlns:x15ac="http://schemas.microsoft.com/office/spreadsheetml/2010/11/ac" url="/Users/milanmarcinco/School/desofs/desofs2026-wed_ffs_4/Deliverables/Phase2/"/>
    </mc:Choice>
  </mc:AlternateContent>
  <xr:revisionPtr revIDLastSave="0" documentId="13_ncr:1_{1E274514-79FE-5E46-A131-B5DAA368CAFC}" xr6:coauthVersionLast="47" xr6:coauthVersionMax="47" xr10:uidLastSave="{00000000-0000-0000-0000-000000000000}"/>
  <bookViews>
    <workbookView xWindow="0" yWindow="620" windowWidth="33600" windowHeight="19320" tabRatio="500" firstSheet="3" activeTab="7"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H18" i="1" s="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J6" i="1"/>
  <c r="K6" i="1" s="1"/>
  <c r="G6" i="1"/>
  <c r="H6" i="1" s="1"/>
  <c r="D6" i="1"/>
  <c r="D23" i="1" l="1"/>
  <c r="L23" i="1"/>
  <c r="H23" i="1"/>
  <c r="K23" i="1"/>
  <c r="M6" i="1"/>
  <c r="M23" i="1" s="1"/>
  <c r="G23" i="1"/>
  <c r="E6" i="1"/>
  <c r="E23" i="1" s="1"/>
  <c r="J23" i="1"/>
</calcChain>
</file>

<file path=xl/sharedStrings.xml><?xml version="1.0" encoding="utf-8"?>
<sst xmlns="http://schemas.openxmlformats.org/spreadsheetml/2006/main" count="2395" uniqueCount="1109">
  <si>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</si>
  <si>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</si>
  <si>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</si>
  <si>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</si>
  <si>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</si>
  <si>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</si>
  <si>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</si>
  <si>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</si>
  <si>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</si>
  <si>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</si>
  <si>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</si>
  <si>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</si>
  <si>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</si>
  <si>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</si>
  <si>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</si>
  <si>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</si>
  <si>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</si>
  <si>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</si>
  <si>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</si>
  <si>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</si>
  <si>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</si>
  <si>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</si>
  <si>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</si>
  <si>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</si>
  <si>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</si>
  <si>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</si>
  <si>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</si>
  <si>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</si>
  <si>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</si>
  <si>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</si>
  <si>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</si>
  <si>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</si>
  <si>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</si>
  <si>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</si>
  <si>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</si>
  <si>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</si>
  <si>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</si>
  <si>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</si>
  <si>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</si>
  <si>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</si>
  <si>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</si>
  <si>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</si>
  <si>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</si>
  <si>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</si>
  <si>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</si>
  <si>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Compliant</t>
  </si>
  <si>
    <t>getSafeOriginalName() uses StringUtils.cleanPath() for canonicalization; Spring/Jackson deserializes JSON input exactly once</t>
  </si>
  <si>
    <t>AttachmentService.java:getSafeOriginalName()</t>
  </si>
  <si>
    <t>V1.1.2</t>
  </si>
  <si>
    <t>Verify that the application performs output encoding and escaping either as a final step before being used by the interpreter for which it is intended or by the interpreter itself.</t>
  </si>
  <si>
    <t>JSON responses encoded by Jackson (sufficient for a REST API).</t>
  </si>
  <si>
    <t>CommentService.java:addComment()</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</si>
  <si>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</si>
  <si>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</si>
  <si>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</si>
  <si>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</si>
  <si>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Pure JSON REST API; Jackson handles all output encoding. No HTML or XML responses produced</t>
  </si>
  <si>
    <t>SecurityConfig.java, all controllers</t>
  </si>
  <si>
    <t>V1.2.2</t>
  </si>
  <si>
    <t>Verify that when dynamically building URLs, untrusted data is encoded according to its context (e.g., URL encoding or base64url encoding for query or path parameters). Ensure that only safe URL protocols are permitted (e.g., disallow javascript: or data:).</t>
  </si>
  <si>
    <t>Not Applicable</t>
  </si>
  <si>
    <t>No dynamic URL construction in the application</t>
  </si>
  <si>
    <t>V1.2.3</t>
  </si>
  <si>
    <t>Verify that output encoding or escaping is used when dynamically building JavaScript content (including JSON), to avoid changing the message or document structure (to avoid JavaScript and JSON injection).</t>
  </si>
  <si>
    <t>No JavaScript context output. REST API only.</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</si>
  <si>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</si>
  <si>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</si>
  <si>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JPA/Hibernate used for all DB access</t>
  </si>
  <si>
    <t>All *Repository.java files</t>
  </si>
  <si>
    <t>V1.2.5</t>
  </si>
  <si>
    <t>Verify that the application protects against OS command injection and that operating system calls use parameterized OS queries or use contextual command line output encoding.</t>
  </si>
  <si>
    <t>No OS command execution. File ops use Java NIO (Files.createDirectories, file.transferTo)</t>
  </si>
  <si>
    <t>AttachmentService.java</t>
  </si>
  <si>
    <t>V1.2.6</t>
  </si>
  <si>
    <t>Verify that the application protects against LDAP injection vulnerabilities, or that specific security controls to prevent LDAP injection have been implemented.</t>
  </si>
  <si>
    <t>No LDAP used</t>
  </si>
  <si>
    <t>V1.2.7</t>
  </si>
  <si>
    <t>Verify that the application is protected against XPath injection attacks by using query parameterization or precompiled queries.</t>
  </si>
  <si>
    <t>No XPath used</t>
  </si>
  <si>
    <t>V1.2.8</t>
  </si>
  <si>
    <t>Verify that LaTeX processors are configured securely (such as not using the "--shell-escape" flag) and an allowlist of commands is used to prevent LaTeX injection attacks.</t>
  </si>
  <si>
    <t>No LaTeX used</t>
  </si>
  <si>
    <t>V1.2.9</t>
  </si>
  <si>
    <t>Verify that the application escapes special characters in regular expressions (typically using a backslash) to prevent them from being misinterpreted as metacharacters.</t>
  </si>
  <si>
    <t>Only regex used is Pattern.compile("@(\\w+)"). Fixed pattern, no user input injected into regex</t>
  </si>
  <si>
    <t>CommentService.java:MENTION_PATTERN</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</si>
  <si>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</si>
  <si>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</si>
  <si>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No CSV export functionality</t>
  </si>
  <si>
    <t>V1.3</t>
  </si>
  <si>
    <t>Sanitization</t>
  </si>
  <si>
    <t>V1.3.1</t>
  </si>
  <si>
    <t>Verify that all untrusted HTML input from WYSIWYG editors or similar is sanitized using a well-known and secure HTML sanitization library or framework feature.</t>
  </si>
  <si>
    <t>No WYSIWYG editor or HTML input.</t>
  </si>
  <si>
    <t>V1.3.2</t>
  </si>
  <si>
    <t>Verify that the application avoids the use of eval() or other dynamic code execution features such as Spring Expression Language (SpEL). Where there is no alternative, any user input being included must be sanitized before being executed.</t>
  </si>
  <si>
    <t>No eval(), no SpEL with user input. @EnableMethodSecurity used but no user-controlled expressions</t>
  </si>
  <si>
    <t>SecurityConfig.java, JwtAuthFilter.java</t>
  </si>
  <si>
    <t>V1.3.3</t>
  </si>
  <si>
    <t>Verify that data being passed to a potentially dangerous context is sanitized beforehand to enforce safety measures, such as only allowing characters which are safe for this context and trimming input which is too long.</t>
  </si>
  <si>
    <t>Input validated via Spring validation and custom checks before use.</t>
  </si>
  <si>
    <t>TaskService.validateTitle(), AttachmentService.validateFile()</t>
  </si>
  <si>
    <t>V1.3.4</t>
  </si>
  <si>
    <t>Verify that user-supplied Scalable Vector Graphics (SVG) scriptable content is validated or sanitized to contain only tags and attributes (such as draw graphics) that are safe for the application, e.g., do not contain scripts and foreignObject.</t>
  </si>
  <si>
    <t>No SVG upload or processing.</t>
  </si>
  <si>
    <t>V1.3.5</t>
  </si>
  <si>
    <t>Verify that the application sanitizes or disables user-supplied scriptable or expression template language content, such as Markdown, CSS or XSL stylesheets, BBCode, or similar.</t>
  </si>
  <si>
    <t>No template engine used</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</si>
  <si>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</si>
  <si>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</si>
  <si>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No outbound HTTP calls made by the application</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</si>
  <si>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</si>
  <si>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</si>
  <si>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No user-controlled templates</t>
  </si>
  <si>
    <t>V1.3.8</t>
  </si>
  <si>
    <t>Verify that the application appropriately sanitizes untrusted input before use in Java Naming and Directory Interface (JNDI) queries and that JNDI is configured securely to prevent JNDI injection attacks.</t>
  </si>
  <si>
    <t>No JNDI lookups.</t>
  </si>
  <si>
    <t>V1.3.9</t>
  </si>
  <si>
    <t>Verify that the application sanitizes content before it is sent to memcache to prevent injection attacks.</t>
  </si>
  <si>
    <t>No memcache usage.</t>
  </si>
  <si>
    <t>V1.3.10</t>
  </si>
  <si>
    <t>Verify that format strings which might resolve in an unexpected or malicious way when used are sanitized before being processed.</t>
  </si>
  <si>
    <t>No user-controlled format strings. String.format() in AttachmentService uses only controlled values (UUID + extension)</t>
  </si>
  <si>
    <t>AttachmentService.java:store()</t>
  </si>
  <si>
    <t>V1.3.11</t>
  </si>
  <si>
    <t>Verify that the application sanitizes user input before passing to mail systems to protect against SMTP or IMAP injection.</t>
  </si>
  <si>
    <t>No email/SMTP functionality</t>
  </si>
  <si>
    <t>V1.3.12</t>
  </si>
  <si>
    <t>Verify that regular expressions are free from elements causing exponential backtracking, and ensure untrusted input is sanitized to mitigate ReDoS or Runaway Regex attacks.</t>
  </si>
  <si>
    <t>Only regex is @(\\w+) — simple, no nested quantifiers, no ReDoS risk</t>
  </si>
  <si>
    <t>V1.4</t>
  </si>
  <si>
    <t>Memory, String, and Unmanaged Code</t>
  </si>
  <si>
    <t>V1.4.1</t>
  </si>
  <si>
    <t>Verify that the application uses memory-safe string, safer memory copy and pointer arithmetic to detect or prevent stack, buffer, or heap overflows.</t>
  </si>
  <si>
    <t>Java/JVM is memory-safe by design, no pointer arithmetic</t>
  </si>
  <si>
    <t>V1.4.2</t>
  </si>
  <si>
    <t>Verify that sign, range, and input validation techniques are used to prevent integer overflows.</t>
  </si>
  <si>
    <t>Java/JVM. No integer overflow via pointer ops; language handles this</t>
  </si>
  <si>
    <t>V1.4.3</t>
  </si>
  <si>
    <t>Verify that dynamically allocated memory and resources are released, and that references or pointers to freed memory are removed or set to null to prevent dangling pointers and use-after-free vulnerabilities.</t>
  </si>
  <si>
    <t>JVM garbage collection; no manual memory management</t>
  </si>
  <si>
    <t>V1.5</t>
  </si>
  <si>
    <t>Safe Deserialization</t>
  </si>
  <si>
    <t>V1.5.1</t>
  </si>
  <si>
    <t>Verify that the application configures XML parsers to use a restrictive configuration and that unsafe features such as resolving external entities are disabled to prevent XML eXternal Entity (XXE) attacks.</t>
  </si>
  <si>
    <t>Uses Jackson for JSON parsing (default secure config). No XML parsing of untrusted data.</t>
  </si>
  <si>
    <t>JwtUtil.java</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</si>
  <si>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</si>
  <si>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</si>
  <si>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No deserialization of untrusted Java objects. Jackson deserializes to DTOs with known types only.</t>
  </si>
  <si>
    <t>All DTOs (CreateCommentRequest, etc.)</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</si>
  <si>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</si>
  <si>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</si>
  <si>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Single JSON parser (Jackson) used consistently.</t>
  </si>
  <si>
    <t>pom.xml</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</si>
  <si>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</si>
  <si>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</si>
  <si>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</si>
  <si>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</si>
  <si>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 xml:space="preserve">Validation rules documented and enforced in code. </t>
  </si>
  <si>
    <t>04_SecurityDesign.md, 01_Requirements.md SR-5/SR-6/SR-7, TaskService.java, CommentService.java, AttachmentService.java</t>
  </si>
  <si>
    <t>V2.1.2</t>
  </si>
  <si>
    <t>Verify that the application's documentation defines how to validate the logical and contextual consistency of combined data items, such as checking that suburb and ZIP code match.</t>
  </si>
  <si>
    <t>Contextual rules documented (FR-13, FR-15) and enforced — strict status pipeline, member self-assignment only</t>
  </si>
  <si>
    <t>TaskStatus.java, TaskService.java, 01_Requirements.md FR-13/FR-15</t>
  </si>
  <si>
    <t>V2.1.3</t>
  </si>
  <si>
    <t>Verify that expectations for business logic limits and validations are documented, including both per-user and globally across the application.</t>
  </si>
  <si>
    <t>Per-user (10 uploads/hour) and global limits (25MB, 5000 chars) documented in SR-14 and configurable via application.yml</t>
  </si>
  <si>
    <t>application.yml, 01_Requirements.md SR-14</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</si>
  <si>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</si>
  <si>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</si>
  <si>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</si>
  <si>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</si>
  <si>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All inputs validated in service layer.</t>
  </si>
  <si>
    <t>TaskService.java, CommentService.java, AttachmentService.java</t>
  </si>
  <si>
    <t>V2.2.2</t>
  </si>
  <si>
    <t>Verify that the application is designed to enforce input validation at a trusted service layer. While client-side validation improves usability and should be encouraged, it must not be relied upon as a security control.</t>
  </si>
  <si>
    <t>All validation server-side only, no client-side validation exists</t>
  </si>
  <si>
    <t>04_SecurityDesign.md</t>
  </si>
  <si>
    <t>V2.2.3</t>
  </si>
  <si>
    <t>Verify that the application ensures that combinations of related data items are reasonable according to the pre-defined rules.</t>
  </si>
  <si>
    <t>Not Started</t>
  </si>
  <si>
    <t>04_SecurityDesign.md§4.1</t>
  </si>
  <si>
    <t>V2.3</t>
  </si>
  <si>
    <t>Business Logic Security</t>
  </si>
  <si>
    <t>V2.3.1</t>
  </si>
  <si>
    <t>Verify that the application will only process business logic flows for the same user in the expected sequential step order and without skipping steps.</t>
  </si>
  <si>
    <t>Strict one-directional state machine: TODO → IN_PROGRESS → DONE. Reversals rejected</t>
  </si>
  <si>
    <t>V2.3.2</t>
  </si>
  <si>
    <t>Verify that business logic limits are implemented per the application's documentation to avoid business logic flaws being exploited.</t>
  </si>
  <si>
    <t>All limits enforced: upload rate (10/hr), file size (25MB), comment (5000 chars), title (255 chars)</t>
  </si>
  <si>
    <t>AttachmentService.java, CommentService.java</t>
  </si>
  <si>
    <t>V2.3.3</t>
  </si>
  <si>
    <t>Verify that transactions are being used at the business logic level such that either a business logic operation succeeds in its entirety or it is rolled back to the previous correct state.</t>
  </si>
  <si>
    <t>DB operations fully transactional.</t>
  </si>
  <si>
    <t>V2.3.4</t>
  </si>
  <si>
    <t>Verify that business logic level locking mechanisms are used to ensure that limited quantity resources (such as theater seats or delivery slots) cannot be double-booked by manipulating the application's logic.</t>
  </si>
  <si>
    <t>No finite-quantity resources in this application</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</si>
  <si>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</si>
  <si>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</si>
  <si>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No high-value flows requiring multi-user approval</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</si>
  <si>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</si>
  <si>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</si>
  <si>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</si>
  <si>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</si>
  <si>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In Progress</t>
  </si>
  <si>
    <t xml:space="preserve">Upload rate limiting implemented (10/hour per user via enforceUploadRateLimit()). Login endpoint has no rate limiting despite being documented in EntryPoints.md and 04_SecurityDesign.md </t>
  </si>
  <si>
    <t>AttachmentService.java:enforceUploadRateLimit(), SecurityConfig.java</t>
  </si>
  <si>
    <t>V2.4.2</t>
  </si>
  <si>
    <t>Verify that business logic flows require realistic human timing, preventing excessively rapid transaction submissions.</t>
  </si>
  <si>
    <t>No transaction timing requirements for business flows.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</si>
  <si>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</si>
  <si>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</si>
  <si>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</si>
  <si>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</si>
  <si>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API-only backend. No browser frontend.</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</si>
  <si>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</si>
  <si>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</si>
  <si>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</si>
  <si>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</si>
  <si>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API-only. No HTML rendering.</t>
  </si>
  <si>
    <t>V3.2.2</t>
  </si>
  <si>
    <t>Verify that content intended to be displayed as text, rather than rendered as HTML, is handled using safe rendering functions (such as createTextNode or textContent) to prevent unintended execution of content such as HTML or JavaScript.</t>
  </si>
  <si>
    <t>API-only. No DOM manipulation.</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</si>
  <si>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</si>
  <si>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</si>
  <si>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API-only. No client-side JavaScript.</t>
  </si>
  <si>
    <t>V3.3</t>
  </si>
  <si>
    <t>Cookie Setup</t>
  </si>
  <si>
    <t>V3.3.1</t>
  </si>
  <si>
    <t>Verify that cookies have the 'Secure' attribute set, and if the '\__Host-' prefix is not used for the cookie name, the '__Secure-' prefix must be used for the cookie name.</t>
  </si>
  <si>
    <t>API-only. No cookies (Bearer tokens in Authorization header).</t>
  </si>
  <si>
    <t>V3.3.2</t>
  </si>
  <si>
    <t>Verify that each cookie's 'SameSite' attribute value is set according to the purpose of the cookie, to limit exposure to user interface redress attacks and browser-based request forgery attacks, commonly known as cross-site request forgery (CSRF).</t>
  </si>
  <si>
    <t>No cookies used.</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</si>
  <si>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</si>
  <si>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</si>
  <si>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</si>
  <si>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</si>
  <si>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</si>
  <si>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</si>
  <si>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</si>
  <si>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</si>
  <si>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</si>
  <si>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</si>
  <si>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API-only. HSTS would be configured at reverse proxy/nginx level, not application.</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</si>
  <si>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</si>
  <si>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</si>
  <si>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API-only. CORS not configured in app (would need to be added for SPA frontend).</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</si>
  <si>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</si>
  <si>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</si>
  <si>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API-only. No CSP needed without HTML rendering.</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</si>
  <si>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</si>
  <si>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</si>
  <si>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API-only. No content sniffing risk for JSON responses.</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</si>
  <si>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</si>
  <si>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</si>
  <si>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API-only. No Referrer-Policy needed.</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</si>
  <si>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</si>
  <si>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</si>
  <si>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API-only. No frame-ancestors needed.</t>
  </si>
  <si>
    <t>V3.4.7</t>
  </si>
  <si>
    <t>Verify that the Content-Security-Policy header field specifies a location to report violations.</t>
  </si>
  <si>
    <t>No CSP.</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</si>
  <si>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</si>
  <si>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</si>
  <si>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API-only. No COOP needed.</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</si>
  <si>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</si>
  <si>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</si>
  <si>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</si>
  <si>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</si>
  <si>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API-only. No CSRF risk for stateless JWT API (no cookies/session).</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</si>
  <si>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</si>
  <si>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</si>
  <si>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No CORS preflight reliance.</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</si>
  <si>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</si>
  <si>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</si>
  <si>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POST/PUT/PATCH/DELETE used appropriately. GET only for reads.</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</si>
  <si>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</si>
  <si>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</si>
  <si>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Single application. No separate hostname separation.</t>
  </si>
  <si>
    <t>V3.5.5</t>
  </si>
  <si>
    <t>Verify that messages received by the postMessage interface are discarded if the origin of the message is not trusted, or if the syntax of the message is invalid.</t>
  </si>
  <si>
    <t>No postMessage usage.</t>
  </si>
  <si>
    <t>V3.5.6</t>
  </si>
  <si>
    <t>Verify that JSONP functionality is not enabled anywhere across the application to avoid Cross-Site Script Inclusion (XSSI) attacks.</t>
  </si>
  <si>
    <t>No JSONP.</t>
  </si>
  <si>
    <t>V3.5.7</t>
  </si>
  <si>
    <t>Verify that data requiring authorization is not included in script resource responses, like JavaScript files, to prevent Cross-Site Script Inclusion (XSSI) attacks.</t>
  </si>
  <si>
    <t>No script resources with auth data.</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</si>
  <si>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</si>
  <si>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</si>
  <si>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No authenticated resources served to browsers.</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</si>
  <si>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</si>
  <si>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</si>
  <si>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</si>
  <si>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</si>
  <si>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No external client-side assets. API-only.</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</si>
  <si>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</si>
  <si>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</si>
  <si>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</si>
  <si>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</si>
  <si>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No client-side technologies.</t>
  </si>
  <si>
    <t>V3.7.2</t>
  </si>
  <si>
    <t>Verify that the application will only automatically redirect the user to a different hostname or domain (which is not controlled by the application) where the destination appears on an allowlist.</t>
  </si>
  <si>
    <t>No redirects in API.</t>
  </si>
  <si>
    <t>V3.7.3</t>
  </si>
  <si>
    <t>Verify that the application shows a notification when the user is being redirected to a URL outside of the application's control, with an option to cancel the navigation.</t>
  </si>
  <si>
    <t>No redirects.</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</si>
  <si>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</si>
  <si>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</si>
  <si>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No HSTS preload (API-only).</t>
  </si>
  <si>
    <t>V3.7.5</t>
  </si>
  <si>
    <t>Verify that the application behaves as documented (such as warning the user or blocking access) if the browser used to access the application does not support the expected security features.</t>
  </si>
  <si>
    <t>No browser feature detection needed.</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</si>
  <si>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</si>
  <si>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</si>
  <si>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</si>
  <si>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</si>
  <si>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 xml:space="preserve"> Spring Boot sets Content-Type: application/json automatically. Jackson uses UTF-8.</t>
  </si>
  <si>
    <t>AttachmentController.java:downloadAttachment()</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</si>
  <si>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</si>
  <si>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</si>
  <si>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No HTTPS redirect configured — HTTP allowed in development. Planned for Sprint 2</t>
  </si>
  <si>
    <t>SecurityConfig.java, 04_SecurityDesign.md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</si>
  <si>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</si>
  <si>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</si>
  <si>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No load balancer or intermediary proxy in current deployment</t>
  </si>
  <si>
    <t>V4.1.4</t>
  </si>
  <si>
    <t>Verify that only HTTP methods that are explicitly supported by the application or its API (including OPTIONS during preflight requests) can be used and that unused methods are blocked.</t>
  </si>
  <si>
    <t>Spring Boot enables standard methods by default. No explicit HTTP method allowlist configured restricting to only used methods</t>
  </si>
  <si>
    <t xml:space="preserve">SecurityConfig.java, </t>
  </si>
  <si>
    <t>V4.1.5</t>
  </si>
  <si>
    <t>Verify that per-message digital signatures are used to provide additional assurance on top of transport protections for requests or transactions which are highly sensitive or which traverse a number of systems.</t>
  </si>
  <si>
    <t>No per-message digital signatures — JWT covers authentication, not per-message signing</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</si>
  <si>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</si>
  <si>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</si>
  <si>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</si>
  <si>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</si>
  <si>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No load balancer in current deployment scope</t>
  </si>
  <si>
    <t>V4.2.2</t>
  </si>
  <si>
    <t>Verify that when generating HTTP messages, the Content-Length header field does not conflict with the length of the content as determined by the framing of the HTTP protocol, in order to prevent request smuggling attacks.</t>
  </si>
  <si>
    <t>HTTP/2 and HTTP/3 not configured — app runs plain HTTP/1.1 in development</t>
  </si>
  <si>
    <t>application.yml</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</si>
  <si>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</si>
  <si>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</si>
  <si>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</si>
  <si>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</si>
  <si>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</si>
  <si>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</si>
  <si>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</si>
  <si>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</si>
  <si>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</si>
  <si>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</si>
  <si>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No GraphQL used</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</si>
  <si>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</si>
  <si>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</si>
  <si>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</si>
  <si>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</si>
  <si>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</si>
  <si>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</si>
  <si>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No WebSockets used</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</si>
  <si>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</si>
  <si>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</si>
  <si>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</si>
  <si>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</si>
  <si>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</si>
  <si>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</si>
  <si>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</si>
  <si>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</si>
  <si>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</si>
  <si>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</si>
  <si>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Permitted types, extensions and max size documented and enforced. Whitelist: pdf, doc, docx, xls, xlsx, ppt, pptx, jpg, jpeg, png, gif. Max: 25MB</t>
  </si>
  <si>
    <t>04_SecurityDesign.md, 01_Requirements.md SR-5/SR-6, AttachmentStorageProperties.java</t>
  </si>
  <si>
    <t>V5.2</t>
  </si>
  <si>
    <t>File Upload and Content</t>
  </si>
  <si>
    <t>V5.2.1</t>
  </si>
  <si>
    <t>Verify that the application will only accept files of a size which it can process without causing a loss of performance or a denial of service attack.</t>
  </si>
  <si>
    <t>25MB limit enforced at two layers: service (validateFile()) and Spring multipart (application.yml). Exceeding limit returns 413</t>
  </si>
  <si>
    <t>AttachmentService.java:validateFile(), application.yml, AttachmentController.java:handleMaxUploadSizeExceeded()</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</si>
  <si>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</si>
  <si>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</si>
  <si>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Extension extracted and validated against allowlist. MIME type verified to match extension. Archives not in whitelist so rejected entirely</t>
  </si>
  <si>
    <t>AttachmentService.java:getExtension(), validateFile()</t>
  </si>
  <si>
    <t>V5.2.3</t>
  </si>
  <si>
    <t>Verify that the application checks compressed files (e.g., zip, gz, docx, odt) against maximum allowed uncompressed size and against maximum number of files before uncompressing the file.</t>
  </si>
  <si>
    <t>No archive/zip decompression performed. Archives not in allowed extensions whitelist</t>
  </si>
  <si>
    <t>V5.2.4</t>
  </si>
  <si>
    <t>Verify that a file size quota and maximum number of files per user are enforced to ensure that a single user cannot fill up the storage with too many files, or excessively large files.</t>
  </si>
  <si>
    <t>Upload rate limit enforced (10/hour per user). No total storage quota per user</t>
  </si>
  <si>
    <t>AttachmentService.java:enforceUploadRateLimit()</t>
  </si>
  <si>
    <t>V5.2.5</t>
  </si>
  <si>
    <t>Verify that the application does not allow uploading compressed files containing symlinks unless this is specifically required (in which case it will be necessary to enforce an allowlist of the files that can be symlinked to).</t>
  </si>
  <si>
    <t>No compressed file uploads permitted</t>
  </si>
  <si>
    <t>V5.2.6</t>
  </si>
  <si>
    <t>Verify that the application rejects uploaded images with a pixel size larger than the maximum allowed, to prevent pixel flood attacks.</t>
  </si>
  <si>
    <t>No pixel dimension validation on images. Byte size limit only (25MB).</t>
  </si>
  <si>
    <t>AttachmentService.java:validateFile()</t>
  </si>
  <si>
    <t>V5.3</t>
  </si>
  <si>
    <t>File Storage</t>
  </si>
  <si>
    <t>V5.3.1</t>
  </si>
  <si>
    <t>Verify that files uploaded or generated by untrusted input and stored in a public folder, are not executed as server-side program code when accessed directly with an HTTP request.</t>
  </si>
  <si>
    <t>Files served only via authenticated endpoint — no direct URL access. No execution path exists. resolveStoragePath() ensures files stay within storageRoot</t>
  </si>
  <si>
    <t>AttachmentService.java:resolveStoragePath(), AttachmentController.java:downloadAttachment()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</si>
  <si>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</si>
  <si>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</si>
  <si>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Stored filename is always UUID.randomUUID() + extension. Original name stored separately in DB only. getSafeOriginalName() rejects /, \, ..</t>
  </si>
  <si>
    <t>AttachmentService.java:store(), getSafeOriginalName()</t>
  </si>
  <si>
    <t>V5.3.3</t>
  </si>
  <si>
    <t>Verify that server-side file processing, such as file decompression, ignores user-provided path information to prevent vulnerabilities such as zip slip.</t>
  </si>
  <si>
    <t>No archive decompression performed</t>
  </si>
  <si>
    <t>V5.4</t>
  </si>
  <si>
    <t>File Download</t>
  </si>
  <si>
    <t>V5.4.1</t>
  </si>
  <si>
    <t>Verify that the application validates or ignores user-submitted filenames, including in a JSON, JSONP, or URL parameter and specifies a filename in the Content-Disposition header field in the response.</t>
  </si>
  <si>
    <t>User-submitted filename sanitized on upload (getSafeOriginalName() rejects path traversal). Served via Content-Disposition: attachment header, not as executable</t>
  </si>
  <si>
    <t>AttachmentController.java:downloadAttachment(), AttachmentService.java:getSafeOriginalName()</t>
  </si>
  <si>
    <t>V5.4.2</t>
  </si>
  <si>
    <t>Verify that file names served (e.g., in HTTP response header fields or email attachments) are encoded or sanitized (e.g., following RFC 6266) to preserve document structure and prevent injection attacks.</t>
  </si>
  <si>
    <t xml:space="preserve">Spring ContentDisposition.filename() provides basic encoding. </t>
  </si>
  <si>
    <t>V5.4.3</t>
  </si>
  <si>
    <t>Verify that files obtained from untrusted sources are scanned by antivirus scanners to prevent serving of known malicious content.</t>
  </si>
  <si>
    <t>No antivirus scanning. MIME type and extension validation only.</t>
  </si>
  <si>
    <t>AttachmentService.java:validateFile(), Deliverables/Phase2/03_Security_Review_Findings.md</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</si>
  <si>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</si>
  <si>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</si>
  <si>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</si>
  <si>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</si>
  <si>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04_SecurityDesign.md and 06_SecurityTesting.md explicitly document rate limiting (5/min per user, 20/hour per IP, 15-min lockout) and account lockout.</t>
  </si>
  <si>
    <t>04_SecurityDesign.md, 06_SecurityTesting.md</t>
  </si>
  <si>
    <t>V6.1.2</t>
  </si>
  <si>
    <t>Verify that a list of context-specific words is documented in order to prevent their use in passwords. The list could include permutations of organization names, product names, system identifiers, project codenames, department or role names, and similar.</t>
  </si>
  <si>
    <t>No documented list of context-specific words or password restrictions exists in any project file.</t>
  </si>
  <si>
    <t>-</t>
  </si>
  <si>
    <t>V6.1.3</t>
  </si>
  <si>
    <t>Verify that, if the application includes multiple authentication pathways, these are all documented together with the security controls and authentication strength which must be consistently enforced across them.</t>
  </si>
  <si>
    <t>A single JWT Bearer authentication pathway is fully documented in 03_Architecture.md, 05_API_Specifications.md, and implemented consistently in SecurityConfig.java and JwtAuthFilter.java.</t>
  </si>
  <si>
    <t>03_Architecture.md, 05_API_Specifications.md</t>
  </si>
  <si>
    <t>V6.2</t>
  </si>
  <si>
    <t>Password Security</t>
  </si>
  <si>
    <t>V6.2.1</t>
  </si>
  <si>
    <t>Verify that user set passwords are at least 8 characters in length although a minimum of 15 characters is strongly recommended.</t>
  </si>
  <si>
    <t>No password length validation exists in AuthService.register(). 04_SecurityDesign.md specifies a minimum of 12 characters, but this is not enforced in code.</t>
  </si>
  <si>
    <t>AuthService.java</t>
  </si>
  <si>
    <t>V6.2.2</t>
  </si>
  <si>
    <t>Verify that users can change their password.</t>
  </si>
  <si>
    <t>No password change endpoint or functionality exists in the API specifications or source code.</t>
  </si>
  <si>
    <t>05_API_Specifications.md</t>
  </si>
  <si>
    <t>V6.2.3</t>
  </si>
  <si>
    <t>Verify that password change functionality requires the user's current and new password.</t>
  </si>
  <si>
    <t>Password change functionality is not implemented.</t>
  </si>
  <si>
    <t>V6.2.4</t>
  </si>
  <si>
    <t>Verify that passwords submitted during account registration or password change are checked against an available set of, at least, the top 3000 passwords which match the application's password policy, e.g. minimum length.</t>
  </si>
  <si>
    <t>No common/breached password checking (e.g., against a top-3000 list) is implemented.</t>
  </si>
  <si>
    <t>V6.2.5</t>
  </si>
  <si>
    <t>Verify that passwords of any composition can be used, without rules limiting the type of characters permitted. There must be no requirement for a minimum number of upper or lower case characters, numbers, or special characters.</t>
  </si>
  <si>
    <t>04_SecurityDesign.md explicitly mandates composition rules (uppercase, lowercase, digits, special chars), which violates this requirement. The code does not enforce them, but the documented policy is non-compliant.</t>
  </si>
  <si>
    <t>V6.2.6</t>
  </si>
  <si>
    <t>Verify that password input fields use type=password to mask the entry. Applications may allow the user to temporarily view the entire masked password, or the last typed character of the password.</t>
  </si>
  <si>
    <t>Frontend implementation was not provided in the uploaded project files.</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</si>
  <si>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</si>
  <si>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</si>
  <si>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</si>
  <si>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</si>
  <si>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AuthService.login() passes the submitted password directly to passwordEncoder.matches() without truncation, case transformation, or other modification.</t>
  </si>
  <si>
    <t>V6.2.9</t>
  </si>
  <si>
    <t>Verify that passwords of at least 64 characters are permitted.</t>
  </si>
  <si>
    <t>No maximum password length is enforced in the code. BCryptPasswordEncoder supports passwords up to 72 bytes, so 64-character passwords are permitted.</t>
  </si>
  <si>
    <t>V6.2.10</t>
  </si>
  <si>
    <t>Verify that a user's password stays valid until it is discovered to be compromised or the user rotates it. The application must not require periodic credential rotation.</t>
  </si>
  <si>
    <t>No password expiration or periodic rotation policy is enforced in the application.</t>
  </si>
  <si>
    <t>V6.2.11</t>
  </si>
  <si>
    <t>Verify that the documented list of context specific words is used to prevent easy to guess passwords being created.</t>
  </si>
  <si>
    <t>No context-specific word list or dictionary check exists.</t>
  </si>
  <si>
    <t>V6.2.12</t>
  </si>
  <si>
    <t>Verify that passwords submitted during account registration or password changes are checked against a set of breached passwords.</t>
  </si>
  <si>
    <t>No breached password detection (e.g., HaveIBeenPwned API or local hash database) is implemented.</t>
  </si>
  <si>
    <t>V6.3</t>
  </si>
  <si>
    <t>General Authentication Security</t>
  </si>
  <si>
    <t>V6.3.1</t>
  </si>
  <si>
    <t>Verify that controls to prevent attacks such as credential stuffing and password brute force are implemented according to the application's security documentation.</t>
  </si>
  <si>
    <t>Rate limiting and lockout are documented but no implementation exists in AuthController.java, SecurityConfig.java, or any Spring Security filter/interceptor.</t>
  </si>
  <si>
    <t>SecurityConfig.java, AuthController.java</t>
  </si>
  <si>
    <t>V6.3.2</t>
  </si>
  <si>
    <t>Verify that default user accounts (e.g., "root", "admin", or "sa") are not present in the application or are disabled.</t>
  </si>
  <si>
    <t>DataBootstrap.java creates hardcoded default accounts (admin@example.com, manager@example.com, user@example.com) with weak passwords on every non-test startup. They are active and never disabled.</t>
  </si>
  <si>
    <t>DataBootstrap.java</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</si>
  <si>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</si>
  <si>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</si>
  <si>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Only single-factor JWT authentication exists. No MFA or combination of single-factor mechanisms is implemented.</t>
  </si>
  <si>
    <t>V6.3.4</t>
  </si>
  <si>
    <t>Verify that, if the application includes multiple authentication pathways, there are no undocumented pathways and that security controls and authentication strength are enforced consistently.</t>
  </si>
  <si>
    <t>Only one authentication pathway (JWT Bearer) exists. It is consistently enforced across all endpoints in SecurityConfig.java.</t>
  </si>
  <si>
    <t>SecurityConfig.java</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</si>
  <si>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</si>
  <si>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</si>
  <si>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No notification system (email, SMS, or in-app) for suspicious login attempts exists.</t>
  </si>
  <si>
    <t>V6.3.6</t>
  </si>
  <si>
    <t>Verify that email is not used as either a single-factor or multi-factor authentication mechanism.</t>
  </si>
  <si>
    <t>Email is used only as a username/identifier, not as an authentication factor (no email OTP or magic links).</t>
  </si>
  <si>
    <t>V6.3.7</t>
  </si>
  <si>
    <t>Verify that users are notified after updates to authentication details, such as credential resets or modification of the username or email address.</t>
  </si>
  <si>
    <t>No notification system is implemented for credential or profile updates.</t>
  </si>
  <si>
    <t>V6.3.8</t>
  </si>
  <si>
    <t>Verify that valid users cannot be deduced from failed authentication challenges, such as by basing on error messages, HTTP response codes, or different response times. Registration and forgot password functionality must also have this protection.</t>
  </si>
  <si>
    <t>AuthService.login() returns identical error messages, but a timing side-channel exists: findByEmail() fails immediately for missing users, while valid users trigger a bcrypt comparison, creating measurable latency differences.</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</si>
  <si>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</si>
  <si>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</si>
  <si>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</si>
  <si>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</si>
  <si>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DataBootstrap.java seeds hardcoded weak passwords (password123) for default accounts. They do not expire and users are not forced to change them.</t>
  </si>
  <si>
    <t>V6.4.2</t>
  </si>
  <si>
    <t>Verify that password hints or knowledge-based authentication (so-called "secret questions") are not present.</t>
  </si>
  <si>
    <t>No password hints or knowledge-based authentication functionality exists in the codebase or documentation.</t>
  </si>
  <si>
    <t>V6.4.3</t>
  </si>
  <si>
    <t>Verify that a secure process for resetting a forgotten password is implemented, that does not bypass any enabled multi-factor authentication mechanisms.</t>
  </si>
  <si>
    <t>No "forgot password" or password reset endpoint exists in the API or code.</t>
  </si>
  <si>
    <t>V6.4.4</t>
  </si>
  <si>
    <t>Verify that if a multi-factor authentication factor is lost, evidence of identity proofing is performed at the same level as during enrollment.</t>
  </si>
  <si>
    <t xml:space="preserve">No MFA is implemented; </t>
  </si>
  <si>
    <t>V6.4.5</t>
  </si>
  <si>
    <t>Verify that renewal instructions for authentication mechanisms which expire are sent with enough time to be carried out before the old authentication mechanism expires, configuring automated reminders if necessary.</t>
  </si>
  <si>
    <t>No user-managed expiring authentication factors (e.g., hardware tokens, certificates) are implemented.</t>
  </si>
  <si>
    <t>V6.4.6</t>
  </si>
  <si>
    <t>Verify that administrative users can initiate the password reset process for the user, but that this does not allow them to change or choose the user's password. This prevents a situation where they know the user's password.</t>
  </si>
  <si>
    <t>No password reset functionality exists for admins or users.</t>
  </si>
  <si>
    <t>V6.5</t>
  </si>
  <si>
    <t>General Multi-factor authentication requirements</t>
  </si>
  <si>
    <t>V6.5.1</t>
  </si>
  <si>
    <t>Verify that lookup secrets, out-of-band authentication requests or codes, and time-based one-time passwords (TOTPs) are only successfully usable once.</t>
  </si>
  <si>
    <t>No lookup secrets, OOB codes, or TOTP are implemented.</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</si>
  <si>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</si>
  <si>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</si>
  <si>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No lookup secrets are implemented.</t>
  </si>
  <si>
    <t>V6.5.3</t>
  </si>
  <si>
    <t>Verify that lookup secrets, out-of-band authentication code, and time-based one-time password seeds, are generated using a Cryptographically Secure Pseudorandom Number Generator (CSPRNG) to avoid predictable values.</t>
  </si>
  <si>
    <t>No lookup secrets, OOB codes, or TOTP seeds are implemented.</t>
  </si>
  <si>
    <t>V6.5.4</t>
  </si>
  <si>
    <t>Verify that lookup secrets and out-of-band authentication codes have a minimum of 20 bits of entropy (typically 4 random alphanumeric characters or 6 random digits is sufficient).</t>
  </si>
  <si>
    <t>No lookup secrets or OOB codes are implemented.</t>
  </si>
  <si>
    <t>V6.5.5</t>
  </si>
  <si>
    <t>Verify that out-of-band authentication requests, codes, or tokens, as well as time-based one-time passwords (TOTPs) have a defined lifetime. Out of band requests must have a maximum lifetime of 10 minutes and for TOTP a maximum lifetime of 30 seconds.</t>
  </si>
  <si>
    <t>No OOB authentication or TOTP is implemented.</t>
  </si>
  <si>
    <t>V6.5.6</t>
  </si>
  <si>
    <t>Verify that any authentication factor (including physical devices) can be revoked in case of theft or other loss.</t>
  </si>
  <si>
    <t>No MFA authentication factors are implemented.</t>
  </si>
  <si>
    <t>V6.5.7</t>
  </si>
  <si>
    <t>Verify that biometric authentication mechanisms are only used as secondary factors together with either something you have or something you know.</t>
  </si>
  <si>
    <t>No biometric authentication is implemented.</t>
  </si>
  <si>
    <t>V6.5.8</t>
  </si>
  <si>
    <t>Verify that time-based one-time passwords (TOTPs) are checked based on a time source from a trusted service and not from an untrusted or client provided time.</t>
  </si>
  <si>
    <t>No TOTP is implemented.</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</si>
  <si>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</si>
  <si>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</si>
  <si>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</si>
  <si>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</si>
  <si>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No PSTN, SMS, or phone-based OTP is implemented.</t>
  </si>
  <si>
    <t>V6.6.2</t>
  </si>
  <si>
    <t>Verify that out-of-band authentication requests, codes, or tokens are bound to the original authentication request for which they were generated and are not usable for a previous or subsequent one.</t>
  </si>
  <si>
    <t>No out-of-band authentication is implemented.</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</si>
  <si>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</si>
  <si>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</si>
  <si>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</si>
  <si>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</si>
  <si>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No push notification MFA is implemented.</t>
  </si>
  <si>
    <t>V6.7</t>
  </si>
  <si>
    <t>Cryptographic authentication mechanism</t>
  </si>
  <si>
    <t>V6.7.1</t>
  </si>
  <si>
    <t>Verify that the certificates used to verify cryptographic authentication assertions are stored in a way protects them from modification.</t>
  </si>
  <si>
    <t>The application uses HS256 symmetric key signing (JwtUtil.java), not certificate-based asymmetric cryptography.</t>
  </si>
  <si>
    <t>V6.7.2</t>
  </si>
  <si>
    <t>Verify that the challenge nonce is at least 64 bits in length, and statistically unique or unique over the lifetime of the cryptographic device.</t>
  </si>
  <si>
    <t>No challenge-response or nonce-based authentication mechanism is implemented.</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</si>
  <si>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</si>
  <si>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</si>
  <si>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</si>
  <si>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</si>
  <si>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Only a local identity provider is supported. No multiple IdPs exist that could enable spoofing.</t>
  </si>
  <si>
    <t>V6.8.2</t>
  </si>
  <si>
    <t>Verify that the presence and integrity of digital signatures on authentication assertions (for example on JWTs or SAML assertions) are always validated, rejecting any assertions that are unsigned or have invalid signatures.</t>
  </si>
  <si>
    <t>JWT signatures are validated on every request in JwtAuthFilter.java via JwtUtil.validate(). Unsigned or tampered tokens are rejected with 401 Unauthorized.</t>
  </si>
  <si>
    <t>JwtAuthFilter.java, JwtUtil.java</t>
  </si>
  <si>
    <t>V6.8.3</t>
  </si>
  <si>
    <t>Verify that SAML assertions are uniquely processed and used only once within the validity period to prevent replay attacks.</t>
  </si>
  <si>
    <t>No SAML integration is implemented.</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</si>
  <si>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</si>
  <si>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</si>
  <si>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No external IdP integration is implemented.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</si>
  <si>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</si>
  <si>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</si>
  <si>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</si>
  <si>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</si>
  <si>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</si>
  <si>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</si>
  <si>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</si>
  <si>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</si>
  <si>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</si>
  <si>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</si>
  <si>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</si>
  <si>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</si>
  <si>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</si>
  <si>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</si>
  <si>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</si>
  <si>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</si>
  <si>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</si>
  <si>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</si>
  <si>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</si>
  <si>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</si>
  <si>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</si>
  <si>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</si>
  <si>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</si>
  <si>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</si>
  <si>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</si>
  <si>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</si>
  <si>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</si>
  <si>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</si>
  <si>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</si>
  <si>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</si>
  <si>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</si>
  <si>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</si>
  <si>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</si>
  <si>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</si>
  <si>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</si>
  <si>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</si>
  <si>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</si>
  <si>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</si>
  <si>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</si>
  <si>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</si>
  <si>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</si>
  <si>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</si>
  <si>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</si>
  <si>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</si>
  <si>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</si>
  <si>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</si>
  <si>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</si>
  <si>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</si>
  <si>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</si>
  <si>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</si>
  <si>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</si>
  <si>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</si>
  <si>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</si>
  <si>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</si>
  <si>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</si>
  <si>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</si>
  <si>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</si>
  <si>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</si>
  <si>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</si>
  <si>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</si>
  <si>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</si>
  <si>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</si>
  <si>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</si>
  <si>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</si>
  <si>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</si>
  <si>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</si>
  <si>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</si>
  <si>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</si>
  <si>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</si>
  <si>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</si>
  <si>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</si>
  <si>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</si>
  <si>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</si>
  <si>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</si>
  <si>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</si>
  <si>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</si>
  <si>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</si>
  <si>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</si>
  <si>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</si>
  <si>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</si>
  <si>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</si>
  <si>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</si>
  <si>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</si>
  <si>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</si>
  <si>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</si>
  <si>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</si>
  <si>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</si>
  <si>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</si>
  <si>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</si>
  <si>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</si>
  <si>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</si>
  <si>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</si>
  <si>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</si>
  <si>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</si>
  <si>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</si>
  <si>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</si>
  <si>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</si>
  <si>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</si>
  <si>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</si>
  <si>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</si>
  <si>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</si>
  <si>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</si>
  <si>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</si>
  <si>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</si>
  <si>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</si>
  <si>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</si>
  <si>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</si>
  <si>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</si>
  <si>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</si>
  <si>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</si>
  <si>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</si>
  <si>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</si>
  <si>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</si>
  <si>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</si>
  <si>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</si>
  <si>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</si>
  <si>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</si>
  <si>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</si>
  <si>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</si>
  <si>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</si>
  <si>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</si>
  <si>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</si>
  <si>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</si>
  <si>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</si>
  <si>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</si>
  <si>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</si>
  <si>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</si>
  <si>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</si>
  <si>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</si>
  <si>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</si>
  <si>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</si>
  <si>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</si>
  <si>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</si>
  <si>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</si>
  <si>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</si>
  <si>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</si>
  <si>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</si>
  <si>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</si>
  <si>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</si>
  <si>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</si>
  <si>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</si>
  <si>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</si>
  <si>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</si>
  <si>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</si>
  <si>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</si>
  <si>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</si>
  <si>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</si>
  <si>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</si>
  <si>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</si>
  <si>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</si>
  <si>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</si>
  <si>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</si>
  <si>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</si>
  <si>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</si>
  <si>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</si>
  <si>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</si>
  <si>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</si>
  <si>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</si>
  <si>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</si>
  <si>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</si>
  <si>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</si>
  <si>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</si>
  <si>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</si>
  <si>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</si>
  <si>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</si>
  <si>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</si>
  <si>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</si>
  <si>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</si>
  <si>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</si>
  <si>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</si>
  <si>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</si>
  <si>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</si>
  <si>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</si>
  <si>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</si>
  <si>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</si>
  <si>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</si>
  <si>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</si>
  <si>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</si>
  <si>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</si>
  <si>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</si>
  <si>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</si>
  <si>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</si>
  <si>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</si>
  <si>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</si>
  <si>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</si>
  <si>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</si>
  <si>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</si>
  <si>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</si>
  <si>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</si>
  <si>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</si>
  <si>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</si>
  <si>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</si>
  <si>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</si>
  <si>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</si>
  <si>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</si>
  <si>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</si>
  <si>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</si>
  <si>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</si>
  <si>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</si>
  <si>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</si>
  <si>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</si>
  <si>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</si>
  <si>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</si>
  <si>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</si>
  <si>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</si>
  <si>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</si>
  <si>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</si>
  <si>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</si>
  <si>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</si>
  <si>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</si>
  <si>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</si>
  <si>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</si>
  <si>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</si>
  <si>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</si>
  <si>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</si>
  <si>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</si>
  <si>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</si>
  <si>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</si>
  <si>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</si>
  <si>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</si>
  <si>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</si>
  <si>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</si>
  <si>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</si>
  <si>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</si>
  <si>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</si>
  <si>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</si>
  <si>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</si>
  <si>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</si>
  <si>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</si>
  <si>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</si>
  <si>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</si>
  <si>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</si>
  <si>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</si>
  <si>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</si>
  <si>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</si>
  <si>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</si>
  <si>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</si>
  <si>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</si>
  <si>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</si>
  <si>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</si>
  <si>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</si>
  <si>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</si>
  <si>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</si>
  <si>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</si>
  <si>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</si>
  <si>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</si>
  <si>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</si>
  <si>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</si>
  <si>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</si>
  <si>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</si>
  <si>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</si>
  <si>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</si>
  <si>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</si>
  <si>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</si>
  <si>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</si>
  <si>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</si>
  <si>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</si>
  <si>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</si>
  <si>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</si>
  <si>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</si>
  <si>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</si>
  <si>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</si>
  <si>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</si>
  <si>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</si>
  <si>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</si>
  <si>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</si>
  <si>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</si>
  <si>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</si>
  <si>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</si>
  <si>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</si>
  <si>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</si>
  <si>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</si>
  <si>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</si>
  <si>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</si>
  <si>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</si>
  <si>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</si>
  <si>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</si>
  <si>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</si>
  <si>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</si>
  <si>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</si>
  <si>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</si>
  <si>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</si>
  <si>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</si>
  <si>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</si>
  <si>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</si>
  <si>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</si>
  <si>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</si>
  <si>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</si>
  <si>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</si>
  <si>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</si>
  <si>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</si>
  <si>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</si>
  <si>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</si>
  <si>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</si>
  <si>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</si>
  <si>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</si>
  <si>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</si>
  <si>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</si>
  <si>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</si>
  <si>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</si>
  <si>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</si>
  <si>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</si>
  <si>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</si>
  <si>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</si>
  <si>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</si>
  <si>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</si>
  <si>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</si>
  <si>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</si>
  <si>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</si>
  <si>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</si>
  <si>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</si>
  <si>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</si>
  <si>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</si>
  <si>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</si>
  <si>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</si>
  <si>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</si>
  <si>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</si>
  <si>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</si>
  <si>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</si>
  <si>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</si>
  <si>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</si>
  <si>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</si>
  <si>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</si>
  <si>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</si>
  <si>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</si>
  <si>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</si>
  <si>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</si>
  <si>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</si>
  <si>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</si>
  <si>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</si>
  <si>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</si>
  <si>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</si>
  <si>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</si>
  <si>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</si>
  <si>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</si>
  <si>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</si>
  <si>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</si>
  <si>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</si>
  <si>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</si>
  <si>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</si>
  <si>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</si>
  <si>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</si>
  <si>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</si>
  <si>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</si>
  <si>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</si>
  <si>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</si>
  <si>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</si>
  <si>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</si>
  <si>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</si>
  <si>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</si>
  <si>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</si>
  <si>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</si>
  <si>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</si>
  <si>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</si>
  <si>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</si>
  <si>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</si>
  <si>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</si>
  <si>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</si>
  <si>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</si>
  <si>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</si>
  <si>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</si>
  <si>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</si>
  <si>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</si>
  <si>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</si>
  <si>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</si>
  <si>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</si>
  <si>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</si>
  <si>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</si>
  <si>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</si>
  <si>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</si>
  <si>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</si>
  <si>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</si>
  <si>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</si>
  <si>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</si>
  <si>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</si>
  <si>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</si>
  <si>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</si>
  <si>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</si>
  <si>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</si>
  <si>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</si>
  <si>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</si>
  <si>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</si>
  <si>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</si>
  <si>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</si>
  <si>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</si>
  <si>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</si>
  <si>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</si>
  <si>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</si>
  <si>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</si>
  <si>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</si>
  <si>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</si>
  <si>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</si>
  <si>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</si>
  <si>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</si>
  <si>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</si>
  <si>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</si>
  <si>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</si>
  <si>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</si>
  <si>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</si>
  <si>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</si>
  <si>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</si>
  <si>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</si>
  <si>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</si>
  <si>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</si>
  <si>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</si>
  <si>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</si>
  <si>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</si>
  <si>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</si>
  <si>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</si>
  <si>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</si>
  <si>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</si>
  <si>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</si>
  <si>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</si>
  <si>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</si>
  <si>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</si>
  <si>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</si>
  <si>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</si>
  <si>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</si>
  <si>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</si>
  <si>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</si>
  <si>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</si>
  <si>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</si>
  <si>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</si>
  <si>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</si>
  <si>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</si>
  <si>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</si>
  <si>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</si>
  <si>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</si>
  <si>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</si>
  <si>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</si>
  <si>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</si>
  <si>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</si>
  <si>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</si>
  <si>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</si>
  <si>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</si>
  <si>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</si>
  <si>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</si>
  <si>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</si>
  <si>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</si>
  <si>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</si>
  <si>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</si>
  <si>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</si>
  <si>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</si>
  <si>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</si>
  <si>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</si>
  <si>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</si>
  <si>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</si>
  <si>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</si>
  <si>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</si>
  <si>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</si>
  <si>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</si>
  <si>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</si>
  <si>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</si>
  <si>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</si>
  <si>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</si>
  <si>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</si>
  <si>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</si>
  <si>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</si>
  <si>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</si>
  <si>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</si>
  <si>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</si>
  <si>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</si>
  <si>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</si>
  <si>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</si>
  <si>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</si>
  <si>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</si>
  <si>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</si>
  <si>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</si>
  <si>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</si>
  <si>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</si>
  <si>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</si>
  <si>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</si>
  <si>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</si>
  <si>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</si>
  <si>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</si>
  <si>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</si>
  <si>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</si>
  <si>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</si>
  <si>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</si>
  <si>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</si>
  <si>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</si>
  <si>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</si>
  <si>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</si>
  <si>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</si>
  <si>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</si>
  <si>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</si>
  <si>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Authorization rules are documented for roles, project membership, task assignee, comment author, and attachment uploader/member access</t>
  </si>
  <si>
    <t>01_Requirements.md, 04_SecurityDesign.md - Both describe who can take what action</t>
  </si>
  <si>
    <t>01_Requirements.md - Describes how some fields are only modifiable by certain roles</t>
  </si>
  <si>
    <t>Some field/action-specific rules exist, such as role update admin-only, task status/assignee rules, comment author edits, and attachment uploader deletes.</t>
  </si>
  <si>
    <t>Service classes for each entity</t>
  </si>
  <si>
    <t>Role-level access is enforced and project-member status also allows certains actions to be performed</t>
  </si>
  <si>
    <t>Protected by role-level access or project membership status</t>
  </si>
  <si>
    <t>All authorization is evaluated in the core backend logic</t>
  </si>
  <si>
    <t>Short-lived access tokens are used to reflect role changes relatively quickly. Project membership status dependent actions are authorized against a read from the database</t>
  </si>
  <si>
    <t>JwtAuthFilter.java</t>
  </si>
  <si>
    <t>JwtAuthFilter.java, AuthService.java</t>
  </si>
  <si>
    <t>No such cross-service pattern is implemented</t>
  </si>
  <si>
    <t>Multi-tenancy not implemented</t>
  </si>
  <si>
    <t>No dedicated admin interface present in the application. Admins/managers use the same endpoints, however, role-based access is enforced.</t>
  </si>
  <si>
    <t>Both access and refresh tokens JWTs are verified.</t>
  </si>
  <si>
    <t>Only HMAC-SHA algorithm is allowed.</t>
  </si>
  <si>
    <t>JWTs are validated with a preconfigured local HS256 secret via setSigningKey. No attacker-controlled JWT key source headers are used</t>
  </si>
  <si>
    <t>Verified when validating the token.</t>
  </si>
  <si>
    <t>Only access token are used to authorize operations. Only refresh token is used to obtain new access token.</t>
  </si>
  <si>
    <t>Only one service exists - single access token is used throughout the entire app for operations authorization.</t>
  </si>
  <si>
    <t>Single audience used throughout the entire app.</t>
  </si>
  <si>
    <t>Access and refresh tokens both have certain expiration period specified. Expired access token disables the user from performing any operations, while expired refresh token forces the user to re-authenticate with user's credentials.</t>
  </si>
  <si>
    <t>AuthController.java, AuthService.java</t>
  </si>
  <si>
    <t>No intention to limit concurrent sessions</t>
  </si>
  <si>
    <t>No SSO systems used</t>
  </si>
  <si>
    <t>All token verification happens in the same backend service.</t>
  </si>
  <si>
    <t>Access and refresh tokens are used.</t>
  </si>
  <si>
    <t>JWTs are used</t>
  </si>
  <si>
    <t>New access and refresh tokens are generated on sign-in/sign-up. New access token is generated when requested if valid refresh token is provided.</t>
  </si>
  <si>
    <t>AuthController.java</t>
  </si>
  <si>
    <t>Access token has a short-lived expiration period</t>
  </si>
  <si>
    <t>Refresh token has a specified expiration period.</t>
  </si>
  <si>
    <t>RefreshTokenService.java</t>
  </si>
  <si>
    <t>No front-end.</t>
  </si>
  <si>
    <t>Explicit API request with valid credentials is needed for a session to be created.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</si>
</sst>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rgb="FF000000"/>
      <name val="Calibri"/>
      <family val="2"/>
      <charset val="1"/>
    </font>
    <font>
      <b/>
      <sz val="16"/>
      <color rgb="FFFFFFFF"/>
      <name val="Cambria"/>
      <charset val="1"/>
    </font>
    <font>
      <i/>
      <sz val="10"/>
      <color rgb="FF595959"/>
      <name val="Cambria"/>
      <charset val="1"/>
    </font>
    <font>
      <b/>
      <sz val="10"/>
      <name val="Cambria"/>
      <charset val="1"/>
    </font>
    <font>
      <b/>
      <sz val="9"/>
      <name val="Cambria"/>
      <charset val="1"/>
    </font>
    <font>
      <b/>
      <sz val="9"/>
      <color rgb="FFFFFFFF"/>
      <name val="Cambria"/>
      <charset val="1"/>
    </font>
    <font>
      <sz val="10"/>
      <name val="Cambria"/>
      <charset val="1"/>
    </font>
    <font>
      <b/>
      <sz val="11"/>
      <color rgb="FFFFFFFF"/>
      <name val="Cambria"/>
      <charset val="1"/>
    </font>
    <font>
      <b/>
      <sz val="10"/>
      <color rgb="FFFFFFFF"/>
      <name val="Cambria"/>
      <charset val="1"/>
    </font>
    <font>
      <b/>
      <sz val="10"/>
      <color rgb="FF1F3864"/>
      <name val="Cambria"/>
      <charset val="1"/>
    </font>
    <font>
      <sz val="11"/>
      <name val="Calibri"/>
      <family val="2"/>
      <charset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6">
    <xf numFmtId="0" fontId="0" fillId="0" borderId="0" xfId="0"/>
    <xf numFmtId="0" fontId="3" fillId="0" borderId="0" xfId="0" applyFont="1"/>
    <xf numFmtId="0" fontId="2" fillId="0" borderId="0" xfId="0" applyFont="1" applyAlignment="1">
      <alignment horizontal="center" vertical="center"/>
    </xf>
    <xf numFmtId="0" fontId="1" fillId="2" borderId="0" xfId="0" applyFont="1" applyFill="1" applyAlignment="1">
      <alignment horizontal="center" vertical="center"/>
    </xf>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3" borderId="1" xfId="0" applyFill="1" applyBorder="1" applyAlignment="1">
      <alignment horizontal="center" vertical="center" wrapText="1"/>
    </xf>
    <xf numFmtId="0" fontId="0" fillId="0" borderId="0" xfId="0" applyAlignment="1">
      <alignment horizontal="center" vertical="center" wrapText="1"/>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0" fillId="4" borderId="1" xfId="0" applyFill="1" applyBorder="1" applyAlignment="1">
      <alignment horizontal="center" vertical="center" wrapText="1"/>
    </xf>
    <xf numFmtId="0" fontId="9" fillId="5" borderId="1" xfId="0" applyFont="1" applyFill="1" applyBorder="1" applyAlignment="1">
      <alignment horizontal="center" vertical="center"/>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0" fillId="0" borderId="0" xfId="0" applyAlignment="1">
      <alignment wrapText="1"/>
    </xf>
    <xf numFmtId="0" fontId="0" fillId="3" borderId="1" xfId="0" applyFill="1" applyBorder="1" applyAlignment="1">
      <alignment horizontal="center" vertical="top" wrapText="1"/>
    </xf>
    <xf numFmtId="0" fontId="9" fillId="5" borderId="1" xfId="0" applyFont="1" applyFill="1" applyBorder="1" applyAlignment="1">
      <alignment horizontal="center" vertical="top"/>
    </xf>
    <xf numFmtId="0" fontId="0" fillId="3" borderId="1" xfId="0" applyFill="1" applyBorder="1" applyAlignment="1">
      <alignment horizontal="right" vertical="top" wrapText="1"/>
    </xf>
    <xf numFmtId="0" fontId="10" fillId="3" borderId="1" xfId="0" applyFont="1" applyFill="1" applyBorder="1" applyAlignment="1">
      <alignment horizontal="lef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w="12600">
              <a:noFill/>
            </a:ln>
          </c:spPr>
          <c:invertIfNegative val="0"/>
          <c:dLbls>
            <c:spPr>
              <a:noFill/>
              <a:ln>
                <a:noFill/>
              </a:ln>
              <a:effectLst/>
            </c:spPr>
            <c:txPr>
              <a:bodyPr wrap="square"/>
              <a:lstStyle/>
              <a:p>
                <a:pPr>
                  <a:defRPr sz="1000" b="0" u="none" strike="noStrike">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0.625</c:v>
                </c:pt>
                <c:pt idx="1">
                  <c:v>1</c:v>
                </c:pt>
                <c:pt idx="2">
                  <c:v>0.125</c:v>
                </c:pt>
                <c:pt idx="3">
                  <c:v>0.5</c:v>
                </c:pt>
                <c:pt idx="4">
                  <c:v>1</c:v>
                </c:pt>
                <c:pt idx="5">
                  <c:v>0.23076923076923078</c:v>
                </c:pt>
                <c:pt idx="6">
                  <c:v>0.5</c:v>
                </c:pt>
                <c:pt idx="7">
                  <c:v>1</c:v>
                </c:pt>
                <c:pt idx="8">
                  <c:v>1</c:v>
                </c:pt>
                <c:pt idx="9">
                  <c:v>0</c:v>
                </c:pt>
                <c:pt idx="10">
                  <c:v>0</c:v>
                </c:pt>
                <c:pt idx="11">
                  <c:v>0</c:v>
                </c:pt>
                <c:pt idx="12">
                  <c:v>0</c:v>
                </c:pt>
                <c:pt idx="13">
                  <c:v>0</c:v>
                </c:pt>
                <c:pt idx="14">
                  <c:v>0</c:v>
                </c:pt>
                <c:pt idx="15" formatCode="General">
                  <c:v>0</c:v>
                </c:pt>
                <c:pt idx="16" formatCode="General">
                  <c:v>0</c:v>
                </c:pt>
              </c:numCache>
            </c:numRef>
          </c:val>
          <c:extLst>
            <c:ext xmlns:c16="http://schemas.microsoft.com/office/drawing/2014/chart" uri="{C3380CC4-5D6E-409C-BE32-E72D297353CC}">
              <c16:uniqueId val="{00000000-929F-5F45-B218-590ABEC3E755}"/>
            </c:ext>
          </c:extLst>
        </c:ser>
        <c:ser>
          <c:idx val="1"/>
          <c:order val="1"/>
          <c:tx>
            <c:strRef>
              <c:f>Summary!$H$5</c:f>
              <c:strCache>
                <c:ptCount val="1"/>
                <c:pt idx="0">
                  <c:v>L2
%</c:v>
                </c:pt>
              </c:strCache>
            </c:strRef>
          </c:tx>
          <c:spPr>
            <a:solidFill>
              <a:srgbClr val="FFEB9C"/>
            </a:solidFill>
            <a:ln w="12600">
              <a:noFill/>
            </a:ln>
          </c:spPr>
          <c:invertIfNegative val="0"/>
          <c:dLbls>
            <c:spPr>
              <a:noFill/>
              <a:ln>
                <a:noFill/>
              </a:ln>
              <a:effectLst/>
            </c:spPr>
            <c:txPr>
              <a:bodyPr wrap="square"/>
              <a:lstStyle/>
              <a:p>
                <a:pPr>
                  <a:defRPr sz="1000" b="0" u="none" strike="noStrike">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0.31578947368421051</c:v>
                </c:pt>
                <c:pt idx="1">
                  <c:v>0.5714285714285714</c:v>
                </c:pt>
                <c:pt idx="2">
                  <c:v>0</c:v>
                </c:pt>
                <c:pt idx="3">
                  <c:v>0</c:v>
                </c:pt>
                <c:pt idx="4">
                  <c:v>0.4</c:v>
                </c:pt>
                <c:pt idx="5">
                  <c:v>0.27272727272727271</c:v>
                </c:pt>
                <c:pt idx="6">
                  <c:v>0.33333333333333331</c:v>
                </c:pt>
                <c:pt idx="7">
                  <c:v>0.66666666666666663</c:v>
                </c:pt>
                <c:pt idx="8">
                  <c:v>0.33333333333333331</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1-929F-5F45-B218-590ABEC3E755}"/>
            </c:ext>
          </c:extLst>
        </c:ser>
        <c:ser>
          <c:idx val="2"/>
          <c:order val="2"/>
          <c:tx>
            <c:strRef>
              <c:f>Summary!$K$5</c:f>
              <c:strCache>
                <c:ptCount val="1"/>
                <c:pt idx="0">
                  <c:v>L3
%</c:v>
                </c:pt>
              </c:strCache>
            </c:strRef>
          </c:tx>
          <c:spPr>
            <a:solidFill>
              <a:srgbClr val="FABF8F"/>
            </a:solidFill>
            <a:ln w="12600">
              <a:noFill/>
            </a:ln>
          </c:spPr>
          <c:invertIfNegative val="0"/>
          <c:dLbls>
            <c:spPr>
              <a:noFill/>
              <a:ln>
                <a:noFill/>
              </a:ln>
              <a:effectLst/>
            </c:spPr>
            <c:txPr>
              <a:bodyPr wrap="square"/>
              <a:lstStyle/>
              <a:p>
                <a:pPr>
                  <a:defRPr sz="1000" b="0" u="none" strike="noStrike">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0.66666666666666663</c:v>
                </c:pt>
                <c:pt idx="1">
                  <c:v>0</c:v>
                </c:pt>
                <c:pt idx="2">
                  <c:v>0</c:v>
                </c:pt>
                <c:pt idx="3">
                  <c:v>0</c:v>
                </c:pt>
                <c:pt idx="4">
                  <c:v>0</c:v>
                </c:pt>
                <c:pt idx="5">
                  <c:v>8.3333333333333329E-2</c:v>
                </c:pt>
                <c:pt idx="6">
                  <c:v>0</c:v>
                </c:pt>
                <c:pt idx="7">
                  <c:v>0.16666666666666666</c:v>
                </c:pt>
                <c:pt idx="8" formatCode="General">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2-929F-5F45-B218-590ABEC3E755}"/>
            </c:ext>
          </c:extLst>
        </c:ser>
        <c:ser>
          <c:idx val="3"/>
          <c:order val="3"/>
          <c:tx>
            <c:strRef>
              <c:f>Summary!$M$5</c:f>
              <c:strCache>
                <c:ptCount val="1"/>
                <c:pt idx="0">
                  <c:v>Overall
%</c:v>
                </c:pt>
              </c:strCache>
            </c:strRef>
          </c:tx>
          <c:spPr>
            <a:solidFill>
              <a:srgbClr val="579D1C"/>
            </a:solidFill>
            <a:ln w="12600">
              <a:noFill/>
            </a:ln>
          </c:spPr>
          <c:invertIfNegative val="0"/>
          <c:dLbls>
            <c:spPr>
              <a:noFill/>
              <a:ln>
                <a:noFill/>
              </a:ln>
              <a:effectLst/>
            </c:spPr>
            <c:txPr>
              <a:bodyPr wrap="square"/>
              <a:lstStyle/>
              <a:p>
                <a:pPr>
                  <a:defRPr sz="1000" b="0" u="none" strike="noStrike">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0.43333333333333335</c:v>
                </c:pt>
                <c:pt idx="1">
                  <c:v>0.61538461538461542</c:v>
                </c:pt>
                <c:pt idx="2">
                  <c:v>3.2258064516129031E-2</c:v>
                </c:pt>
                <c:pt idx="3">
                  <c:v>6.25E-2</c:v>
                </c:pt>
                <c:pt idx="4">
                  <c:v>0.46153846153846156</c:v>
                </c:pt>
                <c:pt idx="5">
                  <c:v>0.21276595744680851</c:v>
                </c:pt>
                <c:pt idx="6">
                  <c:v>0.36842105263157893</c:v>
                </c:pt>
                <c:pt idx="7">
                  <c:v>0.53846153846153844</c:v>
                </c:pt>
                <c:pt idx="8">
                  <c:v>0.7142857142857143</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3-929F-5F45-B218-590ABEC3E755}"/>
            </c:ext>
          </c:extLst>
        </c:ser>
        <c:dLbls>
          <c:showLegendKey val="0"/>
          <c:showVal val="0"/>
          <c:showCatName val="0"/>
          <c:showSerName val="0"/>
          <c:showPercent val="0"/>
          <c:showBubbleSize val="0"/>
        </c:dLbls>
        <c:gapWidth val="100"/>
        <c:axId val="94904967"/>
        <c:axId val="65018146"/>
      </c:barChart>
      <c:catAx>
        <c:axId val="94904967"/>
        <c:scaling>
          <c:orientation val="minMax"/>
        </c:scaling>
        <c:delete val="0"/>
        <c:axPos val="l"/>
        <c:numFmt formatCode="General" sourceLinked="0"/>
        <c:majorTickMark val="out"/>
        <c:minorTickMark val="none"/>
        <c:tickLblPos val="nextTo"/>
        <c:spPr>
          <a:ln w="0">
            <a:solidFill>
              <a:srgbClr val="B3B3B3"/>
            </a:solidFill>
          </a:ln>
        </c:spPr>
        <c:txPr>
          <a:bodyPr/>
          <a:lstStyle/>
          <a:p>
            <a:pPr>
              <a:defRPr sz="1000" b="0" u="none" strike="noStrike">
                <a:uFillTx/>
                <a:latin typeface="Arial"/>
              </a:defRPr>
            </a:pPr>
            <a:endParaRPr lang="en-US"/>
          </a:p>
        </c:txPr>
        <c:crossAx val="65018146"/>
        <c:crosses val="autoZero"/>
        <c:auto val="1"/>
        <c:lblAlgn val="ctr"/>
        <c:lblOffset val="100"/>
        <c:noMultiLvlLbl val="0"/>
      </c:catAx>
      <c:valAx>
        <c:axId val="65018146"/>
        <c:scaling>
          <c:orientation val="minMax"/>
        </c:scaling>
        <c:delete val="0"/>
        <c:axPos val="b"/>
        <c:majorGridlines>
          <c:spPr>
            <a:ln w="0">
              <a:solidFill>
                <a:srgbClr val="B3B3B3"/>
              </a:solidFill>
            </a:ln>
          </c:spPr>
        </c:majorGridlines>
        <c:numFmt formatCode="0%" sourceLinked="0"/>
        <c:majorTickMark val="out"/>
        <c:minorTickMark val="none"/>
        <c:tickLblPos val="nextTo"/>
        <c:spPr>
          <a:ln w="0">
            <a:solidFill>
              <a:srgbClr val="B3B3B3"/>
            </a:solidFill>
          </a:ln>
        </c:spPr>
        <c:txPr>
          <a:bodyPr/>
          <a:lstStyle/>
          <a:p>
            <a:pPr>
              <a:defRPr sz="1000" b="0" u="none" strike="noStrike">
                <a:uFillTx/>
                <a:latin typeface="Arial"/>
              </a:defRPr>
            </a:pPr>
            <a:endParaRPr lang="en-US"/>
          </a:p>
        </c:txPr>
        <c:crossAx val="94904967"/>
        <c:crosses val="autoZero"/>
        <c:crossBetween val="between"/>
      </c:valAx>
      <c:spPr>
        <a:noFill/>
        <a:ln w="0">
          <a:solidFill>
            <a:srgbClr val="B3B3B3"/>
          </a:solidFill>
        </a:ln>
      </c:spPr>
    </c:plotArea>
    <c:legend>
      <c:legendPos val="r"/>
      <c:overlay val="0"/>
      <c:spPr>
        <a:noFill/>
        <a:ln w="0">
          <a:noFill/>
        </a:ln>
      </c:spPr>
      <c:txPr>
        <a:bodyPr/>
        <a:lstStyle/>
        <a:p>
          <a:pPr>
            <a:defRPr sz="1000" b="0" u="none" strike="noStrike">
              <a:uFillTx/>
              <a:latin typeface="Arial"/>
            </a:defRPr>
          </a:pPr>
          <a:endParaRPr lang="en-US"/>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773280</xdr:colOff>
      <xdr:row>47</xdr:row>
      <xdr:rowOff>56520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125" zoomScaleNormal="73" workbookViewId="0">
      <selection activeCell="E13" sqref="E13"/>
    </sheetView>
  </sheetViews>
  <sheetFormatPr baseColWidth="10" defaultColWidth="8.5" defaultRowHeight="15" x14ac:dyDescent="0.2"/>
  <cols>
    <col min="1" max="1" width="34" customWidth="1"/>
    <col min="2" max="13" width="11" customWidth="1"/>
  </cols>
  <sheetData>
    <row r="1" spans="1:16" ht="36" customHeight="1" x14ac:dyDescent="0.2">
      <c r="A1" s="3" t="s">
        <v>0</v>
      </c>
      <c r="B1" s="3"/>
      <c r="C1" s="3"/>
      <c r="D1" s="3"/>
      <c r="E1" s="3"/>
      <c r="F1" s="3"/>
      <c r="G1" s="3"/>
      <c r="H1" s="3"/>
      <c r="I1" s="3"/>
      <c r="J1" s="3"/>
      <c r="K1" s="3"/>
      <c r="L1" s="3"/>
      <c r="M1" s="3"/>
      <c r="N1" s="3"/>
      <c r="O1" s="3"/>
      <c r="P1" s="3"/>
    </row>
    <row r="2" spans="1:16" ht="20" customHeight="1" x14ac:dyDescent="0.2">
      <c r="A2" s="2"/>
      <c r="B2" s="2"/>
      <c r="C2" s="2"/>
      <c r="D2" s="2"/>
      <c r="E2" s="2"/>
      <c r="F2" s="2"/>
      <c r="G2" s="2"/>
      <c r="H2" s="2"/>
      <c r="I2" s="2"/>
      <c r="J2" s="2"/>
      <c r="K2" s="2"/>
      <c r="L2" s="2"/>
      <c r="M2" s="2"/>
      <c r="N2" s="2"/>
      <c r="O2" s="2"/>
      <c r="P2" s="2"/>
    </row>
    <row r="3" spans="1:16" ht="18" customHeight="1" x14ac:dyDescent="0.2">
      <c r="A3" s="1"/>
      <c r="B3" s="1"/>
      <c r="C3" s="4"/>
      <c r="E3" s="4"/>
      <c r="G3" s="4"/>
      <c r="I3" s="4"/>
      <c r="K3" s="4"/>
      <c r="M3" s="4"/>
      <c r="O3" s="4"/>
    </row>
    <row r="5" spans="1:16" ht="32" customHeight="1" x14ac:dyDescent="0.2">
      <c r="A5" s="5" t="s">
        <v>1</v>
      </c>
      <c r="B5" s="5" t="s">
        <v>2</v>
      </c>
      <c r="C5" s="5" t="s">
        <v>3</v>
      </c>
      <c r="D5" s="5" t="s">
        <v>4</v>
      </c>
      <c r="E5" s="5" t="s">
        <v>5</v>
      </c>
      <c r="F5" s="5" t="s">
        <v>6</v>
      </c>
      <c r="G5" s="5" t="s">
        <v>7</v>
      </c>
      <c r="H5" s="5" t="s">
        <v>8</v>
      </c>
      <c r="I5" s="5" t="s">
        <v>9</v>
      </c>
      <c r="J5" s="5" t="s">
        <v>10</v>
      </c>
      <c r="K5" s="5" t="s">
        <v>11</v>
      </c>
      <c r="L5" s="5" t="s">
        <v>12</v>
      </c>
      <c r="M5" s="5" t="s">
        <v>13</v>
      </c>
    </row>
    <row r="6" spans="1:16" ht="18" customHeight="1" x14ac:dyDescent="0.2">
      <c r="A6" s="6" t="s">
        <v>14</v>
      </c>
      <c r="B6" s="7">
        <v>30</v>
      </c>
      <c r="C6" s="7">
        <v>8</v>
      </c>
      <c r="D6" s="7">
        <f>COUNTIFS('V1 - Encoding and Sanitization'!$F$2:$F$36,"Compliant",'V1 - Encoding and Sanitization'!$E$2:$E$36,1)</f>
        <v>5</v>
      </c>
      <c r="E6" s="8">
        <f t="shared" ref="E6:E20" si="0">IF(C6=0,"",D6/C6)</f>
        <v>0.625</v>
      </c>
      <c r="F6" s="7">
        <v>19</v>
      </c>
      <c r="G6" s="7">
        <f>COUNTIFS('V1 - Encoding and Sanitization'!$F$2:$F$36,"Compliant",'V1 - Encoding and Sanitization'!$E$2:$E$36,2)</f>
        <v>6</v>
      </c>
      <c r="H6" s="8">
        <f t="shared" ref="H6:H22" si="1">IF(F6=0,"",G6/F6)</f>
        <v>0.31578947368421051</v>
      </c>
      <c r="I6" s="7">
        <v>3</v>
      </c>
      <c r="J6" s="7">
        <f>COUNTIFS('V1 - Encoding and Sanitization'!$F$2:$F$36,"Compliant",'V1 - Encoding and Sanitization'!$E$2:$E$36,3)</f>
        <v>2</v>
      </c>
      <c r="K6" s="8">
        <f t="shared" ref="K6:K13" si="2">IF(I6=0,"",J6/I6)</f>
        <v>0.66666666666666663</v>
      </c>
      <c r="L6" s="7">
        <f>COUNTIF('V1 - Encoding and Sanitization'!$F$2:$F$36,"Compliant")</f>
        <v>13</v>
      </c>
      <c r="M6" s="8">
        <f t="shared" ref="M6:M22" si="3">IF(B6=0,"",L6/B6)</f>
        <v>0.43333333333333335</v>
      </c>
    </row>
    <row r="7" spans="1:16" ht="18" customHeight="1" x14ac:dyDescent="0.2">
      <c r="A7" s="9" t="s">
        <v>15</v>
      </c>
      <c r="B7" s="10">
        <v>13</v>
      </c>
      <c r="C7" s="10">
        <v>4</v>
      </c>
      <c r="D7" s="10">
        <f>COUNTIFS('V2 - Validation and Business Lo'!$F$2:$F$18,"Compliant",'V2 - Validation and Business Lo'!$E$2:$E$18,1)</f>
        <v>4</v>
      </c>
      <c r="E7" s="11">
        <f t="shared" si="0"/>
        <v>1</v>
      </c>
      <c r="F7" s="10">
        <v>7</v>
      </c>
      <c r="G7" s="10">
        <f>COUNTIFS('V2 - Validation and Business Lo'!$F$2:$F$18,"Compliant",'V2 - Validation and Business Lo'!$E$2:$E$18,2)</f>
        <v>4</v>
      </c>
      <c r="H7" s="11">
        <f t="shared" si="1"/>
        <v>0.5714285714285714</v>
      </c>
      <c r="I7" s="10">
        <v>2</v>
      </c>
      <c r="J7" s="10">
        <f>COUNTIFS('V2 - Validation and Business Lo'!$F$2:$F$18,"Compliant",'V2 - Validation and Business Lo'!$E$2:$E$18,3)</f>
        <v>0</v>
      </c>
      <c r="K7" s="11">
        <f t="shared" si="2"/>
        <v>0</v>
      </c>
      <c r="L7" s="10">
        <f>COUNTIF('V2 - Validation and Business Lo'!$F$2:$F$18,"Compliant")</f>
        <v>8</v>
      </c>
      <c r="M7" s="11">
        <f t="shared" si="3"/>
        <v>0.61538461538461542</v>
      </c>
    </row>
    <row r="8" spans="1:16" ht="18" customHeight="1" x14ac:dyDescent="0.2">
      <c r="A8" s="6" t="s">
        <v>16</v>
      </c>
      <c r="B8" s="7">
        <v>31</v>
      </c>
      <c r="C8" s="7">
        <v>8</v>
      </c>
      <c r="D8" s="7">
        <f>COUNTIFS('V3 - Web Frontend Security'!$F$2:$F$39,"Compliant",'V3 - Web Frontend Security'!$E$2:$E$39,1)</f>
        <v>1</v>
      </c>
      <c r="E8" s="8">
        <f t="shared" si="0"/>
        <v>0.125</v>
      </c>
      <c r="F8" s="7">
        <v>11</v>
      </c>
      <c r="G8" s="7">
        <f>COUNTIFS('V3 - Web Frontend Security'!$F$2:$F$39,"Compliant",'V3 - Web Frontend Security'!$E$2:$E$39,2)</f>
        <v>0</v>
      </c>
      <c r="H8" s="8">
        <f t="shared" si="1"/>
        <v>0</v>
      </c>
      <c r="I8" s="7">
        <v>12</v>
      </c>
      <c r="J8" s="7">
        <f>COUNTIFS('V3 - Web Frontend Security'!$F$2:$F$39,"Compliant",'V3 - Web Frontend Security'!$E$2:$E$39,3)</f>
        <v>0</v>
      </c>
      <c r="K8" s="8">
        <f t="shared" si="2"/>
        <v>0</v>
      </c>
      <c r="L8" s="7">
        <f>COUNTIF('V3 - Web Frontend Security'!$F$2:$F$39,"Compliant")</f>
        <v>1</v>
      </c>
      <c r="M8" s="8">
        <f t="shared" si="3"/>
        <v>3.2258064516129031E-2</v>
      </c>
    </row>
    <row r="9" spans="1:16" ht="18" customHeight="1" x14ac:dyDescent="0.2">
      <c r="A9" s="9" t="s">
        <v>17</v>
      </c>
      <c r="B9" s="10">
        <v>16</v>
      </c>
      <c r="C9" s="10">
        <v>2</v>
      </c>
      <c r="D9" s="10">
        <f>COUNTIFS('V4 - API and Web Service'!$F$2:$F$21,"Compliant",'V4 - API and Web Service'!$E$2:$E$21,1)</f>
        <v>1</v>
      </c>
      <c r="E9" s="11">
        <f t="shared" si="0"/>
        <v>0.5</v>
      </c>
      <c r="F9" s="10">
        <v>8</v>
      </c>
      <c r="G9" s="10">
        <f>COUNTIFS('V4 - API and Web Service'!$F$2:$F$21,"Compliant",'V4 - API and Web Service'!$E$2:$E$21,2)</f>
        <v>0</v>
      </c>
      <c r="H9" s="11">
        <f t="shared" si="1"/>
        <v>0</v>
      </c>
      <c r="I9" s="10">
        <v>6</v>
      </c>
      <c r="J9" s="10">
        <f>COUNTIFS('V4 - API and Web Service'!$F$2:$F$21,"Compliant",'V4 - API and Web Service'!$E$2:$E$21,3)</f>
        <v>0</v>
      </c>
      <c r="K9" s="11">
        <f t="shared" si="2"/>
        <v>0</v>
      </c>
      <c r="L9" s="10">
        <f>COUNTIF('V4 - API and Web Service'!$F$2:$F$21,"Compliant")</f>
        <v>1</v>
      </c>
      <c r="M9" s="11">
        <f t="shared" si="3"/>
        <v>6.25E-2</v>
      </c>
    </row>
    <row r="10" spans="1:16" ht="18" customHeight="1" x14ac:dyDescent="0.2">
      <c r="A10" s="6" t="s">
        <v>18</v>
      </c>
      <c r="B10" s="7">
        <v>13</v>
      </c>
      <c r="C10" s="7">
        <v>4</v>
      </c>
      <c r="D10" s="7">
        <f>COUNTIFS('V5 - File Handling'!$F$2:$F$18,"Compliant",'V5 - File Handling'!$E$2:$E$18,1)</f>
        <v>4</v>
      </c>
      <c r="E10" s="8">
        <f t="shared" si="0"/>
        <v>1</v>
      </c>
      <c r="F10" s="7">
        <v>5</v>
      </c>
      <c r="G10" s="7">
        <f>COUNTIFS('V5 - File Handling'!$F$2:$F$18,"Compliant",'V5 - File Handling'!$E$2:$E$18,2)</f>
        <v>2</v>
      </c>
      <c r="H10" s="8">
        <f t="shared" si="1"/>
        <v>0.4</v>
      </c>
      <c r="I10" s="7">
        <v>4</v>
      </c>
      <c r="J10" s="7">
        <f>COUNTIFS('V5 - File Handling'!$F$2:$F$18,"Compliant",'V5 - File Handling'!$E$2:$E$18,3)</f>
        <v>0</v>
      </c>
      <c r="K10" s="8">
        <f t="shared" si="2"/>
        <v>0</v>
      </c>
      <c r="L10" s="7">
        <f>COUNTIF('V5 - File Handling'!$F$2:$F$18,"Compliant")</f>
        <v>6</v>
      </c>
      <c r="M10" s="8">
        <f t="shared" si="3"/>
        <v>0.46153846153846156</v>
      </c>
    </row>
    <row r="11" spans="1:16" ht="18" customHeight="1" x14ac:dyDescent="0.2">
      <c r="A11" s="9" t="s">
        <v>19</v>
      </c>
      <c r="B11" s="10">
        <v>47</v>
      </c>
      <c r="C11" s="10">
        <v>13</v>
      </c>
      <c r="D11" s="10">
        <f>COUNTIFS('V6 - Authentication'!$F$2:$F$56,"Compliant",'V6 - Authentication'!$E$2:$E$56,1)</f>
        <v>3</v>
      </c>
      <c r="E11" s="11">
        <f t="shared" si="0"/>
        <v>0.23076923076923078</v>
      </c>
      <c r="F11" s="10">
        <v>22</v>
      </c>
      <c r="G11" s="10">
        <f>COUNTIFS('V6 - Authentication'!$F$2:$F$56,"Compliant",'V6 - Authentication'!$E$2:$E$56,2)</f>
        <v>6</v>
      </c>
      <c r="H11" s="11">
        <f t="shared" si="1"/>
        <v>0.27272727272727271</v>
      </c>
      <c r="I11" s="10">
        <v>12</v>
      </c>
      <c r="J11" s="10">
        <f>COUNTIFS('V6 - Authentication'!$F$2:$F$56,"Compliant",'V6 - Authentication'!$E$2:$E$56,3)</f>
        <v>1</v>
      </c>
      <c r="K11" s="11">
        <f t="shared" si="2"/>
        <v>8.3333333333333329E-2</v>
      </c>
      <c r="L11" s="10">
        <f>COUNTIF('V6 - Authentication'!$F$2:$F$56,"Compliant")</f>
        <v>10</v>
      </c>
      <c r="M11" s="11">
        <f t="shared" si="3"/>
        <v>0.21276595744680851</v>
      </c>
    </row>
    <row r="12" spans="1:16" ht="18" customHeight="1" x14ac:dyDescent="0.2">
      <c r="A12" s="6" t="s">
        <v>20</v>
      </c>
      <c r="B12" s="7">
        <v>19</v>
      </c>
      <c r="C12" s="7">
        <v>6</v>
      </c>
      <c r="D12" s="7">
        <f>COUNTIFS('V7 - Session Management'!$F$2:$F$26,"Compliant",'V7 - Session Management'!$E$2:$E$26,1)</f>
        <v>3</v>
      </c>
      <c r="E12" s="8">
        <f t="shared" si="0"/>
        <v>0.5</v>
      </c>
      <c r="F12" s="7">
        <v>12</v>
      </c>
      <c r="G12" s="7">
        <f>COUNTIFS('V7 - Session Management'!$F$2:$F$26,"Compliant",'V7 - Session Management'!$E$2:$E$26,2)</f>
        <v>4</v>
      </c>
      <c r="H12" s="8">
        <f t="shared" si="1"/>
        <v>0.33333333333333331</v>
      </c>
      <c r="I12" s="7">
        <v>1</v>
      </c>
      <c r="J12" s="7">
        <f>COUNTIFS('V7 - Session Management'!$F$2:$F$26,"Compliant",'V7 - Session Management'!$E$2:$E$26,3)</f>
        <v>0</v>
      </c>
      <c r="K12" s="8">
        <f t="shared" si="2"/>
        <v>0</v>
      </c>
      <c r="L12" s="7">
        <f>COUNTIF('V7 - Session Management'!$F$2:$F$26,"Compliant")</f>
        <v>7</v>
      </c>
      <c r="M12" s="8">
        <f t="shared" si="3"/>
        <v>0.36842105263157893</v>
      </c>
    </row>
    <row r="13" spans="1:16" ht="18" customHeight="1" x14ac:dyDescent="0.2">
      <c r="A13" s="9" t="s">
        <v>21</v>
      </c>
      <c r="B13" s="10">
        <v>13</v>
      </c>
      <c r="C13" s="10">
        <v>4</v>
      </c>
      <c r="D13" s="10">
        <f>COUNTIFS('V8 - Authorization'!$F$2:$F$18,"Compliant",'V8 - Authorization'!$E$2:$E$18,1)</f>
        <v>4</v>
      </c>
      <c r="E13" s="11">
        <f t="shared" si="0"/>
        <v>1</v>
      </c>
      <c r="F13" s="10">
        <v>3</v>
      </c>
      <c r="G13" s="10">
        <f>COUNTIFS('V8 - Authorization'!$F$2:$F$18,"Compliant",'V8 - Authorization'!$E$2:$E$18,2)</f>
        <v>2</v>
      </c>
      <c r="H13" s="11">
        <f t="shared" si="1"/>
        <v>0.66666666666666663</v>
      </c>
      <c r="I13" s="10">
        <v>6</v>
      </c>
      <c r="J13" s="10">
        <f>COUNTIFS('V8 - Authorization'!$F$2:$F$18,"Compliant",'V8 - Authorization'!$E$2:$E$18,3)</f>
        <v>1</v>
      </c>
      <c r="K13" s="11">
        <f t="shared" si="2"/>
        <v>0.16666666666666666</v>
      </c>
      <c r="L13" s="10">
        <f>COUNTIF('V8 - Authorization'!$F$2:$F$18,"Compliant")</f>
        <v>7</v>
      </c>
      <c r="M13" s="11">
        <f t="shared" si="3"/>
        <v>0.53846153846153844</v>
      </c>
    </row>
    <row r="14" spans="1:16" ht="18" customHeight="1" x14ac:dyDescent="0.2">
      <c r="A14" s="6" t="s">
        <v>22</v>
      </c>
      <c r="B14" s="7">
        <v>7</v>
      </c>
      <c r="C14" s="7">
        <v>4</v>
      </c>
      <c r="D14" s="7">
        <f>COUNTIFS('V9 - Self-contained Tokens'!$F$2:$F$10,"Compliant",'V9 - Self-contained Tokens'!$E$2:$E$10,1)</f>
        <v>4</v>
      </c>
      <c r="E14" s="8">
        <f t="shared" si="0"/>
        <v>1</v>
      </c>
      <c r="F14" s="7">
        <v>3</v>
      </c>
      <c r="G14" s="7">
        <f>COUNTIFS('V9 - Self-contained Tokens'!$F$2:$F$10,"Compliant",'V9 - Self-contained Tokens'!$E$2:$E$10,2)</f>
        <v>1</v>
      </c>
      <c r="H14" s="8">
        <f t="shared" si="1"/>
        <v>0.33333333333333331</v>
      </c>
      <c r="I14" s="7">
        <v>0</v>
      </c>
      <c r="J14" s="7" t="s">
        <v>23</v>
      </c>
      <c r="K14" s="7" t="s">
        <v>23</v>
      </c>
      <c r="L14" s="7">
        <f>COUNTIF('V9 - Self-contained Tokens'!$F$2:$F$10,"Compliant")</f>
        <v>5</v>
      </c>
      <c r="M14" s="8">
        <f t="shared" si="3"/>
        <v>0.7142857142857143</v>
      </c>
    </row>
    <row r="15" spans="1:16" ht="18" customHeight="1" x14ac:dyDescent="0.2">
      <c r="A15" s="9" t="s">
        <v>24</v>
      </c>
      <c r="B15" s="10">
        <v>36</v>
      </c>
      <c r="C15" s="10">
        <v>5</v>
      </c>
      <c r="D15" s="10">
        <f>COUNTIFS('V10 - OAuth and OIDC'!$F$2:$F$44,"Compliant",'V10 - OAuth and OIDC'!$E$2:$E$44,1)</f>
        <v>0</v>
      </c>
      <c r="E15" s="11">
        <f t="shared" si="0"/>
        <v>0</v>
      </c>
      <c r="F15" s="10">
        <v>24</v>
      </c>
      <c r="G15" s="10">
        <f>COUNTIFS('V10 - OAuth and OIDC'!$F$2:$F$44,"Compliant",'V10 - OAuth and OIDC'!$E$2:$E$44,2)</f>
        <v>0</v>
      </c>
      <c r="H15" s="11">
        <f t="shared" si="1"/>
        <v>0</v>
      </c>
      <c r="I15" s="10">
        <v>7</v>
      </c>
      <c r="J15" s="10">
        <f>COUNTIFS('V10 - OAuth and OIDC'!$F$2:$F$44,"Compliant",'V10 - OAuth and OIDC'!$E$2:$E$44,3)</f>
        <v>0</v>
      </c>
      <c r="K15" s="11">
        <f t="shared" ref="K15:K22" si="4">IF(I15=0,"",J15/I15)</f>
        <v>0</v>
      </c>
      <c r="L15" s="10">
        <f>COUNTIF('V10 - OAuth and OIDC'!$F$2:$F$44,"Compliant")</f>
        <v>0</v>
      </c>
      <c r="M15" s="11">
        <f t="shared" si="3"/>
        <v>0</v>
      </c>
    </row>
    <row r="16" spans="1:16" ht="18" customHeight="1" x14ac:dyDescent="0.2">
      <c r="A16" s="6" t="s">
        <v>25</v>
      </c>
      <c r="B16" s="7">
        <v>24</v>
      </c>
      <c r="C16" s="7">
        <v>3</v>
      </c>
      <c r="D16" s="7">
        <f>COUNTIFS('V11 - Cryptography'!$F$2:$F$32,"Compliant",'V11 - Cryptography'!$E$2:$E$32,1)</f>
        <v>0</v>
      </c>
      <c r="E16" s="8">
        <f t="shared" si="0"/>
        <v>0</v>
      </c>
      <c r="F16" s="7">
        <v>11</v>
      </c>
      <c r="G16" s="7">
        <f>COUNTIFS('V11 - Cryptography'!$F$2:$F$32,"Compliant",'V11 - Cryptography'!$E$2:$E$32,2)</f>
        <v>0</v>
      </c>
      <c r="H16" s="8">
        <f t="shared" si="1"/>
        <v>0</v>
      </c>
      <c r="I16" s="7">
        <v>10</v>
      </c>
      <c r="J16" s="7">
        <f>COUNTIFS('V11 - Cryptography'!$F$2:$F$32,"Compliant",'V11 - Cryptography'!$E$2:$E$32,3)</f>
        <v>0</v>
      </c>
      <c r="K16" s="8">
        <f t="shared" si="4"/>
        <v>0</v>
      </c>
      <c r="L16" s="7">
        <f>COUNTIF('V11 - Cryptography'!$F$2:$F$32,"Compliant")</f>
        <v>0</v>
      </c>
      <c r="M16" s="8">
        <f t="shared" si="3"/>
        <v>0</v>
      </c>
    </row>
    <row r="17" spans="1:13" ht="18" customHeight="1" x14ac:dyDescent="0.2">
      <c r="A17" s="9" t="s">
        <v>26</v>
      </c>
      <c r="B17" s="10">
        <v>12</v>
      </c>
      <c r="C17" s="10">
        <v>3</v>
      </c>
      <c r="D17" s="10">
        <f>COUNTIFS('V12 - Secure Communication'!$F$2:$F$16,"Compliant",'V12 - Secure Communication'!$E$2:$E$16,1)</f>
        <v>0</v>
      </c>
      <c r="E17" s="11">
        <f t="shared" si="0"/>
        <v>0</v>
      </c>
      <c r="F17" s="10">
        <v>6</v>
      </c>
      <c r="G17" s="10">
        <f>COUNTIFS('V12 - Secure Communication'!$F$2:$F$16,"Compliant",'V12 - Secure Communication'!$E$2:$E$16,2)</f>
        <v>0</v>
      </c>
      <c r="H17" s="11">
        <f t="shared" si="1"/>
        <v>0</v>
      </c>
      <c r="I17" s="10">
        <v>3</v>
      </c>
      <c r="J17" s="10">
        <f>COUNTIFS('V12 - Secure Communication'!$F$2:$F$16,"Compliant",'V12 - Secure Communication'!$E$2:$E$16,3)</f>
        <v>0</v>
      </c>
      <c r="K17" s="11">
        <f t="shared" si="4"/>
        <v>0</v>
      </c>
      <c r="L17" s="10">
        <f>COUNTIF('V12 - Secure Communication'!$F$2:$F$16,"Compliant")</f>
        <v>0</v>
      </c>
      <c r="M17" s="11">
        <f t="shared" si="3"/>
        <v>0</v>
      </c>
    </row>
    <row r="18" spans="1:13" ht="18" customHeight="1" x14ac:dyDescent="0.2">
      <c r="A18" s="6" t="s">
        <v>27</v>
      </c>
      <c r="B18" s="7">
        <v>21</v>
      </c>
      <c r="C18" s="7">
        <v>1</v>
      </c>
      <c r="D18" s="7">
        <f>COUNTIFS('V13 - Configuration'!$F$2:$F$26,"Compliant",'V13 - Configuration'!$E$2:$E$26,1)</f>
        <v>0</v>
      </c>
      <c r="E18" s="8">
        <f t="shared" si="0"/>
        <v>0</v>
      </c>
      <c r="F18" s="7">
        <v>12</v>
      </c>
      <c r="G18" s="7">
        <f>COUNTIFS('V13 - Configuration'!$F$2:$F$26,"Compliant",'V13 - Configuration'!$E$2:$E$26,2)</f>
        <v>0</v>
      </c>
      <c r="H18" s="8">
        <f t="shared" si="1"/>
        <v>0</v>
      </c>
      <c r="I18" s="7">
        <v>8</v>
      </c>
      <c r="J18" s="7">
        <f>COUNTIFS('V13 - Configuration'!$F$2:$F$26,"Compliant",'V13 - Configuration'!$E$2:$E$26,3)</f>
        <v>0</v>
      </c>
      <c r="K18" s="8">
        <f t="shared" si="4"/>
        <v>0</v>
      </c>
      <c r="L18" s="7">
        <f>COUNTIF('V13 - Configuration'!$F$2:$F$26,"Compliant")</f>
        <v>0</v>
      </c>
      <c r="M18" s="8">
        <f t="shared" si="3"/>
        <v>0</v>
      </c>
    </row>
    <row r="19" spans="1:13" ht="18" customHeight="1" x14ac:dyDescent="0.2">
      <c r="A19" s="9" t="s">
        <v>28</v>
      </c>
      <c r="B19" s="10">
        <v>13</v>
      </c>
      <c r="C19" s="10">
        <v>2</v>
      </c>
      <c r="D19" s="10">
        <f>COUNTIFS('V14 - Data Protection'!$F$2:$F$17,"Compliant",'V14 - Data Protection'!$E$2:$E$17,1)</f>
        <v>0</v>
      </c>
      <c r="E19" s="11">
        <f t="shared" si="0"/>
        <v>0</v>
      </c>
      <c r="F19" s="10">
        <v>7</v>
      </c>
      <c r="G19" s="10">
        <f>COUNTIFS('V14 - Data Protection'!$F$2:$F$17,"Compliant",'V14 - Data Protection'!$E$2:$E$17,2)</f>
        <v>0</v>
      </c>
      <c r="H19" s="11">
        <f t="shared" si="1"/>
        <v>0</v>
      </c>
      <c r="I19" s="10">
        <v>4</v>
      </c>
      <c r="J19" s="10">
        <f>COUNTIFS('V14 - Data Protection'!$F$2:$F$17,"Compliant",'V14 - Data Protection'!$E$2:$E$17,3)</f>
        <v>0</v>
      </c>
      <c r="K19" s="11">
        <f t="shared" si="4"/>
        <v>0</v>
      </c>
      <c r="L19" s="10">
        <f>COUNTIF('V14 - Data Protection'!$F$2:$F$17,"Compliant")</f>
        <v>0</v>
      </c>
      <c r="M19" s="11">
        <f t="shared" si="3"/>
        <v>0</v>
      </c>
    </row>
    <row r="20" spans="1:13" ht="18" customHeight="1" x14ac:dyDescent="0.2">
      <c r="A20" s="6" t="s">
        <v>29</v>
      </c>
      <c r="B20" s="7">
        <v>21</v>
      </c>
      <c r="C20" s="7">
        <v>3</v>
      </c>
      <c r="D20" s="7">
        <f>COUNTIFS('V15 - Secure Coding and Archite'!$F$2:$F$26,"Compliant",'V15 - Secure Coding and Archite'!$E$2:$E$26,1)</f>
        <v>0</v>
      </c>
      <c r="E20" s="8">
        <f t="shared" si="0"/>
        <v>0</v>
      </c>
      <c r="F20" s="7">
        <v>10</v>
      </c>
      <c r="G20" s="7">
        <f>COUNTIFS('V15 - Secure Coding and Archite'!$F$2:$F$26,"Compliant",'V15 - Secure Coding and Archite'!$E$2:$E$26,2)</f>
        <v>0</v>
      </c>
      <c r="H20" s="8">
        <f t="shared" si="1"/>
        <v>0</v>
      </c>
      <c r="I20" s="7">
        <v>8</v>
      </c>
      <c r="J20" s="7">
        <f>COUNTIFS('V15 - Secure Coding and Archite'!$F$2:$F$26,"Compliant",'V15 - Secure Coding and Archite'!$E$2:$E$26,3)</f>
        <v>0</v>
      </c>
      <c r="K20" s="8">
        <f t="shared" si="4"/>
        <v>0</v>
      </c>
      <c r="L20" s="7">
        <f>COUNTIF('V15 - Secure Coding and Archite'!$F$2:$F$26,"Compliant")</f>
        <v>0</v>
      </c>
      <c r="M20" s="8">
        <f t="shared" si="3"/>
        <v>0</v>
      </c>
    </row>
    <row r="21" spans="1:13" ht="18" customHeight="1" x14ac:dyDescent="0.2">
      <c r="A21" s="9" t="s">
        <v>30</v>
      </c>
      <c r="B21" s="10">
        <v>17</v>
      </c>
      <c r="C21" s="10">
        <v>0</v>
      </c>
      <c r="D21" s="10" t="s">
        <v>23</v>
      </c>
      <c r="E21" s="10" t="s">
        <v>23</v>
      </c>
      <c r="F21" s="10">
        <v>16</v>
      </c>
      <c r="G21" s="10">
        <f>COUNTIFS('V16 - Security Logging and Erro'!$F$2:$F$23,"Compliant",'V16 - Security Logging and Erro'!$E$2:$E$23,2)</f>
        <v>0</v>
      </c>
      <c r="H21" s="11">
        <f t="shared" si="1"/>
        <v>0</v>
      </c>
      <c r="I21" s="10">
        <v>1</v>
      </c>
      <c r="J21" s="10">
        <f>COUNTIFS('V16 - Security Logging and Erro'!$F$2:$F$23,"Compliant",'V16 - Security Logging and Erro'!$E$2:$E$23,3)</f>
        <v>0</v>
      </c>
      <c r="K21" s="11">
        <f t="shared" si="4"/>
        <v>0</v>
      </c>
      <c r="L21" s="10">
        <f>COUNTIF('V16 - Security Logging and Erro'!$F$2:$F$23,"Compliant")</f>
        <v>0</v>
      </c>
      <c r="M21" s="11">
        <f t="shared" si="3"/>
        <v>0</v>
      </c>
    </row>
    <row r="22" spans="1:13" ht="18" customHeight="1" x14ac:dyDescent="0.2">
      <c r="A22" s="6" t="s">
        <v>31</v>
      </c>
      <c r="B22" s="7">
        <v>12</v>
      </c>
      <c r="C22" s="7">
        <v>0</v>
      </c>
      <c r="D22" s="7" t="s">
        <v>23</v>
      </c>
      <c r="E22" s="7" t="s">
        <v>23</v>
      </c>
      <c r="F22" s="7">
        <v>7</v>
      </c>
      <c r="G22" s="7">
        <f>COUNTIFS('V17 - WebRTC'!$F$2:$F$16,"Compliant",'V17 - WebRTC'!$E$2:$E$16,2)</f>
        <v>0</v>
      </c>
      <c r="H22" s="8">
        <f t="shared" si="1"/>
        <v>0</v>
      </c>
      <c r="I22" s="7">
        <v>5</v>
      </c>
      <c r="J22" s="7">
        <f>COUNTIFS('V17 - WebRTC'!$F$2:$F$16,"Compliant",'V17 - WebRTC'!$E$2:$E$16,3)</f>
        <v>0</v>
      </c>
      <c r="K22" s="8">
        <f t="shared" si="4"/>
        <v>0</v>
      </c>
      <c r="L22" s="7">
        <f>COUNTIF('V17 - WebRTC'!$F$2:$F$16,"Compliant")</f>
        <v>0</v>
      </c>
      <c r="M22" s="8">
        <f t="shared" si="3"/>
        <v>0</v>
      </c>
    </row>
    <row r="23" spans="1:13" ht="22" customHeight="1" x14ac:dyDescent="0.2">
      <c r="A23" s="12" t="s">
        <v>32</v>
      </c>
      <c r="B23" s="13">
        <f>SUM(B6:B22)</f>
        <v>345</v>
      </c>
      <c r="C23" s="13">
        <f>SUM(C6:C22)</f>
        <v>70</v>
      </c>
      <c r="D23" s="13">
        <f>SUM(D6:D22)</f>
        <v>29</v>
      </c>
      <c r="E23" s="14">
        <f>IFERROR(AVERAGE(E6:E22),"")</f>
        <v>0.39871794871794874</v>
      </c>
      <c r="F23" s="13">
        <f>SUM(F6:F22)</f>
        <v>183</v>
      </c>
      <c r="G23" s="13">
        <f>SUM(G6:G22)</f>
        <v>25</v>
      </c>
      <c r="H23" s="14">
        <f>IFERROR(AVERAGE(H6:H22),"")</f>
        <v>0.17019286183372873</v>
      </c>
      <c r="I23" s="13">
        <f>SUM(I6:I22)</f>
        <v>92</v>
      </c>
      <c r="J23" s="13">
        <f>SUM(J6:J22)</f>
        <v>4</v>
      </c>
      <c r="K23" s="14">
        <f>IFERROR(AVERAGE(K6:K22),"")</f>
        <v>5.7291666666666664E-2</v>
      </c>
      <c r="L23" s="13">
        <f>SUM(L6:L22)</f>
        <v>58</v>
      </c>
      <c r="M23" s="14">
        <f>IFERROR(AVERAGE(M6:M22),"")</f>
        <v>0.20229110221165761</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11023622047" footer="0.511811023622047"/>
  <pageSetup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topLeftCell="C1" zoomScale="73" zoomScaleNormal="73" workbookViewId="0">
      <pane ySplit="1" topLeftCell="A19" activePane="bottomLeft" state="frozen"/>
      <selection activeCell="C1" sqref="C1"/>
      <selection pane="bottomLeft" activeCell="G41" sqref="G41"/>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51" customWidth="1"/>
    <col min="8" max="8" width="40.1640625" customWidth="1"/>
  </cols>
  <sheetData>
    <row r="1" spans="1:8" ht="28" customHeight="1" x14ac:dyDescent="0.2">
      <c r="A1" s="15" t="s">
        <v>33</v>
      </c>
      <c r="B1" s="15" t="s">
        <v>34</v>
      </c>
      <c r="C1" s="15" t="s">
        <v>35</v>
      </c>
      <c r="D1" s="15" t="s">
        <v>36</v>
      </c>
      <c r="E1" s="15" t="s">
        <v>37</v>
      </c>
      <c r="F1" s="15" t="s">
        <v>38</v>
      </c>
      <c r="G1" s="15" t="s">
        <v>39</v>
      </c>
      <c r="H1" s="15" t="s">
        <v>40</v>
      </c>
    </row>
    <row r="2" spans="1:8" ht="18" customHeight="1" x14ac:dyDescent="0.2">
      <c r="A2" s="16" t="s">
        <v>41</v>
      </c>
      <c r="B2" s="16" t="s">
        <v>42</v>
      </c>
      <c r="C2" s="16"/>
      <c r="D2" s="16"/>
      <c r="E2" s="16"/>
      <c r="F2" s="16"/>
      <c r="G2" s="16"/>
      <c r="H2" s="16"/>
    </row>
    <row r="3" spans="1:8" ht="43.75" customHeight="1" x14ac:dyDescent="0.2">
      <c r="A3" s="17" t="s">
        <v>41</v>
      </c>
      <c r="B3" s="17" t="s">
        <v>42</v>
      </c>
      <c r="C3" s="18" t="s">
        <v>43</v>
      </c>
      <c r="D3" s="19" t="s">
        <v>44</v>
      </c>
      <c r="E3" s="20">
        <v>2</v>
      </c>
      <c r="F3" s="21" t="s">
        <v>45</v>
      </c>
      <c r="G3" s="22" t="s">
        <v>46</v>
      </c>
      <c r="H3" s="23" t="s">
        <v>47</v>
      </c>
    </row>
    <row r="4" spans="1:8" ht="30" customHeight="1" x14ac:dyDescent="0.2">
      <c r="A4" s="24" t="s">
        <v>41</v>
      </c>
      <c r="B4" s="24" t="s">
        <v>42</v>
      </c>
      <c r="C4" s="25" t="s">
        <v>48</v>
      </c>
      <c r="D4" s="26" t="s">
        <v>49</v>
      </c>
      <c r="E4" s="20">
        <v>2</v>
      </c>
      <c r="F4" s="21" t="s">
        <v>45</v>
      </c>
      <c r="G4" s="27" t="s">
        <v>50</v>
      </c>
      <c r="H4" s="27" t="s">
        <v>51</v>
      </c>
    </row>
    <row r="5" spans="1:8" ht="18" customHeight="1" x14ac:dyDescent="0.2">
      <c r="A5" s="16" t="s">
        <v>52</v>
      </c>
      <c r="B5" s="16" t="s">
        <v>53</v>
      </c>
      <c r="C5" s="16"/>
      <c r="D5" s="16"/>
      <c r="E5" s="16"/>
      <c r="F5" s="16"/>
      <c r="G5" s="28"/>
      <c r="H5" s="28"/>
    </row>
    <row r="6" spans="1:8" ht="30" customHeight="1" x14ac:dyDescent="0.2">
      <c r="A6" s="17" t="s">
        <v>52</v>
      </c>
      <c r="B6" s="17" t="s">
        <v>53</v>
      </c>
      <c r="C6" s="18" t="s">
        <v>54</v>
      </c>
      <c r="D6" s="19" t="s">
        <v>55</v>
      </c>
      <c r="E6" s="29">
        <v>1</v>
      </c>
      <c r="F6" s="21" t="s">
        <v>45</v>
      </c>
      <c r="G6" s="22" t="s">
        <v>56</v>
      </c>
      <c r="H6" s="22" t="s">
        <v>57</v>
      </c>
    </row>
    <row r="7" spans="1:8" ht="30" customHeight="1" x14ac:dyDescent="0.2">
      <c r="A7" s="24" t="s">
        <v>52</v>
      </c>
      <c r="B7" s="24" t="s">
        <v>53</v>
      </c>
      <c r="C7" s="25" t="s">
        <v>58</v>
      </c>
      <c r="D7" s="26" t="s">
        <v>59</v>
      </c>
      <c r="E7" s="29">
        <v>1</v>
      </c>
      <c r="F7" s="21" t="s">
        <v>60</v>
      </c>
      <c r="G7" s="27" t="s">
        <v>61</v>
      </c>
      <c r="H7" s="27" t="s">
        <v>23</v>
      </c>
    </row>
    <row r="8" spans="1:8" ht="30" customHeight="1" x14ac:dyDescent="0.2">
      <c r="A8" s="17" t="s">
        <v>52</v>
      </c>
      <c r="B8" s="17" t="s">
        <v>53</v>
      </c>
      <c r="C8" s="18" t="s">
        <v>62</v>
      </c>
      <c r="D8" s="19" t="s">
        <v>63</v>
      </c>
      <c r="E8" s="29">
        <v>1</v>
      </c>
      <c r="F8" s="21" t="s">
        <v>60</v>
      </c>
      <c r="G8" s="22" t="s">
        <v>64</v>
      </c>
      <c r="H8" s="27" t="s">
        <v>23</v>
      </c>
    </row>
    <row r="9" spans="1:8" ht="30" customHeight="1" x14ac:dyDescent="0.2">
      <c r="A9" s="24" t="s">
        <v>52</v>
      </c>
      <c r="B9" s="24" t="s">
        <v>53</v>
      </c>
      <c r="C9" s="25" t="s">
        <v>65</v>
      </c>
      <c r="D9" s="26" t="s">
        <v>66</v>
      </c>
      <c r="E9" s="29">
        <v>1</v>
      </c>
      <c r="F9" s="21" t="s">
        <v>45</v>
      </c>
      <c r="G9" s="22" t="s">
        <v>67</v>
      </c>
      <c r="H9" s="22" t="s">
        <v>68</v>
      </c>
    </row>
    <row r="10" spans="1:8" ht="30" customHeight="1" x14ac:dyDescent="0.2">
      <c r="A10" s="17" t="s">
        <v>52</v>
      </c>
      <c r="B10" s="17" t="s">
        <v>53</v>
      </c>
      <c r="C10" s="18" t="s">
        <v>69</v>
      </c>
      <c r="D10" s="19" t="s">
        <v>70</v>
      </c>
      <c r="E10" s="29">
        <v>1</v>
      </c>
      <c r="F10" s="21" t="s">
        <v>45</v>
      </c>
      <c r="G10" s="22" t="s">
        <v>71</v>
      </c>
      <c r="H10" s="22" t="s">
        <v>72</v>
      </c>
    </row>
    <row r="11" spans="1:8" ht="30" customHeight="1" x14ac:dyDescent="0.2">
      <c r="A11" s="24" t="s">
        <v>52</v>
      </c>
      <c r="B11" s="24" t="s">
        <v>53</v>
      </c>
      <c r="C11" s="25" t="s">
        <v>73</v>
      </c>
      <c r="D11" s="26" t="s">
        <v>74</v>
      </c>
      <c r="E11" s="20">
        <v>2</v>
      </c>
      <c r="F11" s="21" t="s">
        <v>60</v>
      </c>
      <c r="G11" s="22" t="s">
        <v>75</v>
      </c>
      <c r="H11" s="27" t="s">
        <v>23</v>
      </c>
    </row>
    <row r="12" spans="1:8" ht="30" customHeight="1" x14ac:dyDescent="0.2">
      <c r="A12" s="17" t="s">
        <v>52</v>
      </c>
      <c r="B12" s="17" t="s">
        <v>53</v>
      </c>
      <c r="C12" s="18" t="s">
        <v>76</v>
      </c>
      <c r="D12" s="19" t="s">
        <v>77</v>
      </c>
      <c r="E12" s="20">
        <v>2</v>
      </c>
      <c r="F12" s="21" t="s">
        <v>60</v>
      </c>
      <c r="G12" s="22" t="s">
        <v>78</v>
      </c>
      <c r="H12" s="27" t="s">
        <v>23</v>
      </c>
    </row>
    <row r="13" spans="1:8" ht="30" customHeight="1" x14ac:dyDescent="0.2">
      <c r="A13" s="24" t="s">
        <v>52</v>
      </c>
      <c r="B13" s="24" t="s">
        <v>53</v>
      </c>
      <c r="C13" s="25" t="s">
        <v>79</v>
      </c>
      <c r="D13" s="26" t="s">
        <v>80</v>
      </c>
      <c r="E13" s="20">
        <v>2</v>
      </c>
      <c r="F13" s="21" t="s">
        <v>60</v>
      </c>
      <c r="G13" s="22" t="s">
        <v>81</v>
      </c>
      <c r="H13" s="27" t="s">
        <v>23</v>
      </c>
    </row>
    <row r="14" spans="1:8" ht="30" customHeight="1" x14ac:dyDescent="0.2">
      <c r="A14" s="17" t="s">
        <v>52</v>
      </c>
      <c r="B14" s="17" t="s">
        <v>53</v>
      </c>
      <c r="C14" s="18" t="s">
        <v>82</v>
      </c>
      <c r="D14" s="19" t="s">
        <v>83</v>
      </c>
      <c r="E14" s="20">
        <v>2</v>
      </c>
      <c r="F14" s="21" t="s">
        <v>45</v>
      </c>
      <c r="G14" s="22" t="s">
        <v>84</v>
      </c>
      <c r="H14" s="22" t="s">
        <v>85</v>
      </c>
    </row>
    <row r="15" spans="1:8" ht="30" customHeight="1" x14ac:dyDescent="0.2">
      <c r="A15" s="24" t="s">
        <v>52</v>
      </c>
      <c r="B15" s="24" t="s">
        <v>53</v>
      </c>
      <c r="C15" s="25" t="s">
        <v>86</v>
      </c>
      <c r="D15" s="26" t="s">
        <v>87</v>
      </c>
      <c r="E15" s="30">
        <v>3</v>
      </c>
      <c r="F15" s="21" t="s">
        <v>60</v>
      </c>
      <c r="G15" s="22" t="s">
        <v>88</v>
      </c>
      <c r="H15" s="27" t="s">
        <v>23</v>
      </c>
    </row>
    <row r="16" spans="1:8" ht="18" customHeight="1" x14ac:dyDescent="0.2">
      <c r="A16" s="16" t="s">
        <v>89</v>
      </c>
      <c r="B16" s="16" t="s">
        <v>90</v>
      </c>
      <c r="C16" s="16"/>
      <c r="D16" s="16"/>
      <c r="E16" s="16"/>
      <c r="F16" s="16"/>
      <c r="G16" s="22"/>
      <c r="H16" s="22"/>
    </row>
    <row r="17" spans="1:8" ht="30" customHeight="1" x14ac:dyDescent="0.2">
      <c r="A17" s="17" t="s">
        <v>89</v>
      </c>
      <c r="B17" s="17" t="s">
        <v>90</v>
      </c>
      <c r="C17" s="18" t="s">
        <v>91</v>
      </c>
      <c r="D17" s="19" t="s">
        <v>92</v>
      </c>
      <c r="E17" s="29">
        <v>1</v>
      </c>
      <c r="F17" s="21" t="s">
        <v>60</v>
      </c>
      <c r="G17" s="22" t="s">
        <v>93</v>
      </c>
      <c r="H17" s="27" t="s">
        <v>23</v>
      </c>
    </row>
    <row r="18" spans="1:8" ht="30" customHeight="1" x14ac:dyDescent="0.2">
      <c r="A18" s="24" t="s">
        <v>89</v>
      </c>
      <c r="B18" s="24" t="s">
        <v>90</v>
      </c>
      <c r="C18" s="25" t="s">
        <v>94</v>
      </c>
      <c r="D18" s="26" t="s">
        <v>95</v>
      </c>
      <c r="E18" s="29">
        <v>1</v>
      </c>
      <c r="F18" s="21" t="s">
        <v>45</v>
      </c>
      <c r="G18" s="22" t="s">
        <v>96</v>
      </c>
      <c r="H18" s="22" t="s">
        <v>97</v>
      </c>
    </row>
    <row r="19" spans="1:8" ht="30" customHeight="1" x14ac:dyDescent="0.2">
      <c r="A19" s="17" t="s">
        <v>89</v>
      </c>
      <c r="B19" s="17" t="s">
        <v>90</v>
      </c>
      <c r="C19" s="18" t="s">
        <v>98</v>
      </c>
      <c r="D19" s="19" t="s">
        <v>99</v>
      </c>
      <c r="E19" s="20">
        <v>2</v>
      </c>
      <c r="F19" s="21" t="s">
        <v>45</v>
      </c>
      <c r="G19" s="22" t="s">
        <v>100</v>
      </c>
      <c r="H19" s="22" t="s">
        <v>101</v>
      </c>
    </row>
    <row r="20" spans="1:8" ht="30" customHeight="1" x14ac:dyDescent="0.2">
      <c r="A20" s="24" t="s">
        <v>89</v>
      </c>
      <c r="B20" s="24" t="s">
        <v>90</v>
      </c>
      <c r="C20" s="25" t="s">
        <v>102</v>
      </c>
      <c r="D20" s="26" t="s">
        <v>103</v>
      </c>
      <c r="E20" s="20">
        <v>2</v>
      </c>
      <c r="F20" s="21" t="s">
        <v>60</v>
      </c>
      <c r="G20" s="22" t="s">
        <v>104</v>
      </c>
      <c r="H20" s="27" t="s">
        <v>23</v>
      </c>
    </row>
    <row r="21" spans="1:8" ht="30" customHeight="1" x14ac:dyDescent="0.2">
      <c r="A21" s="17" t="s">
        <v>89</v>
      </c>
      <c r="B21" s="17" t="s">
        <v>90</v>
      </c>
      <c r="C21" s="18" t="s">
        <v>105</v>
      </c>
      <c r="D21" s="19" t="s">
        <v>106</v>
      </c>
      <c r="E21" s="20">
        <v>2</v>
      </c>
      <c r="F21" s="21" t="s">
        <v>60</v>
      </c>
      <c r="G21" s="22" t="s">
        <v>107</v>
      </c>
      <c r="H21" s="27" t="s">
        <v>23</v>
      </c>
    </row>
    <row r="22" spans="1:8" ht="30" customHeight="1" x14ac:dyDescent="0.2">
      <c r="A22" s="24" t="s">
        <v>89</v>
      </c>
      <c r="B22" s="24" t="s">
        <v>90</v>
      </c>
      <c r="C22" s="25" t="s">
        <v>108</v>
      </c>
      <c r="D22" s="26" t="s">
        <v>109</v>
      </c>
      <c r="E22" s="20">
        <v>2</v>
      </c>
      <c r="F22" s="21" t="s">
        <v>60</v>
      </c>
      <c r="G22" s="22" t="s">
        <v>110</v>
      </c>
      <c r="H22" s="27" t="s">
        <v>23</v>
      </c>
    </row>
    <row r="23" spans="1:8" ht="30" customHeight="1" x14ac:dyDescent="0.2">
      <c r="A23" s="17" t="s">
        <v>89</v>
      </c>
      <c r="B23" s="17" t="s">
        <v>90</v>
      </c>
      <c r="C23" s="18" t="s">
        <v>111</v>
      </c>
      <c r="D23" s="19" t="s">
        <v>112</v>
      </c>
      <c r="E23" s="20">
        <v>2</v>
      </c>
      <c r="F23" s="21" t="s">
        <v>60</v>
      </c>
      <c r="G23" s="22" t="s">
        <v>113</v>
      </c>
      <c r="H23" s="27" t="s">
        <v>23</v>
      </c>
    </row>
    <row r="24" spans="1:8" ht="30" customHeight="1" x14ac:dyDescent="0.2">
      <c r="A24" s="24" t="s">
        <v>89</v>
      </c>
      <c r="B24" s="24" t="s">
        <v>90</v>
      </c>
      <c r="C24" s="25" t="s">
        <v>114</v>
      </c>
      <c r="D24" s="26" t="s">
        <v>115</v>
      </c>
      <c r="E24" s="20">
        <v>2</v>
      </c>
      <c r="F24" s="21" t="s">
        <v>60</v>
      </c>
      <c r="G24" s="22" t="s">
        <v>116</v>
      </c>
      <c r="H24" s="27" t="s">
        <v>23</v>
      </c>
    </row>
    <row r="25" spans="1:8" ht="30" customHeight="1" x14ac:dyDescent="0.2">
      <c r="A25" s="17" t="s">
        <v>89</v>
      </c>
      <c r="B25" s="17" t="s">
        <v>90</v>
      </c>
      <c r="C25" s="18" t="s">
        <v>117</v>
      </c>
      <c r="D25" s="19" t="s">
        <v>118</v>
      </c>
      <c r="E25" s="20">
        <v>2</v>
      </c>
      <c r="F25" s="21" t="s">
        <v>60</v>
      </c>
      <c r="G25" s="22" t="s">
        <v>119</v>
      </c>
      <c r="H25" s="27" t="s">
        <v>23</v>
      </c>
    </row>
    <row r="26" spans="1:8" ht="39.75" customHeight="1" x14ac:dyDescent="0.2">
      <c r="A26" s="24" t="s">
        <v>89</v>
      </c>
      <c r="B26" s="24" t="s">
        <v>90</v>
      </c>
      <c r="C26" s="25" t="s">
        <v>120</v>
      </c>
      <c r="D26" s="26" t="s">
        <v>121</v>
      </c>
      <c r="E26" s="20">
        <v>2</v>
      </c>
      <c r="F26" s="21" t="s">
        <v>45</v>
      </c>
      <c r="G26" s="22" t="s">
        <v>122</v>
      </c>
      <c r="H26" s="22" t="s">
        <v>123</v>
      </c>
    </row>
    <row r="27" spans="1:8" ht="30" customHeight="1" x14ac:dyDescent="0.2">
      <c r="A27" s="17" t="s">
        <v>89</v>
      </c>
      <c r="B27" s="17" t="s">
        <v>90</v>
      </c>
      <c r="C27" s="18" t="s">
        <v>124</v>
      </c>
      <c r="D27" s="19" t="s">
        <v>125</v>
      </c>
      <c r="E27" s="20">
        <v>2</v>
      </c>
      <c r="F27" s="21" t="s">
        <v>60</v>
      </c>
      <c r="G27" s="22" t="s">
        <v>126</v>
      </c>
      <c r="H27" s="27" t="s">
        <v>23</v>
      </c>
    </row>
    <row r="28" spans="1:8" ht="30" customHeight="1" x14ac:dyDescent="0.2">
      <c r="A28" s="24" t="s">
        <v>89</v>
      </c>
      <c r="B28" s="24" t="s">
        <v>90</v>
      </c>
      <c r="C28" s="25" t="s">
        <v>127</v>
      </c>
      <c r="D28" s="26" t="s">
        <v>128</v>
      </c>
      <c r="E28" s="30">
        <v>3</v>
      </c>
      <c r="F28" s="21" t="s">
        <v>45</v>
      </c>
      <c r="G28" s="22" t="s">
        <v>129</v>
      </c>
      <c r="H28" s="22" t="s">
        <v>85</v>
      </c>
    </row>
    <row r="29" spans="1:8" ht="18" customHeight="1" x14ac:dyDescent="0.2">
      <c r="A29" s="16" t="s">
        <v>130</v>
      </c>
      <c r="B29" s="16" t="s">
        <v>131</v>
      </c>
      <c r="C29" s="16"/>
      <c r="D29" s="16"/>
      <c r="E29" s="16"/>
      <c r="F29" s="16"/>
      <c r="G29" s="22"/>
      <c r="H29" s="22"/>
    </row>
    <row r="30" spans="1:8" ht="30" customHeight="1" x14ac:dyDescent="0.2">
      <c r="A30" s="17" t="s">
        <v>130</v>
      </c>
      <c r="B30" s="17" t="s">
        <v>131</v>
      </c>
      <c r="C30" s="18" t="s">
        <v>132</v>
      </c>
      <c r="D30" s="19" t="s">
        <v>133</v>
      </c>
      <c r="E30" s="20">
        <v>2</v>
      </c>
      <c r="F30" s="21" t="s">
        <v>60</v>
      </c>
      <c r="G30" s="22" t="s">
        <v>134</v>
      </c>
      <c r="H30" s="27" t="s">
        <v>23</v>
      </c>
    </row>
    <row r="31" spans="1:8" ht="30" customHeight="1" x14ac:dyDescent="0.2">
      <c r="A31" s="24" t="s">
        <v>130</v>
      </c>
      <c r="B31" s="24" t="s">
        <v>131</v>
      </c>
      <c r="C31" s="25" t="s">
        <v>135</v>
      </c>
      <c r="D31" s="26" t="s">
        <v>136</v>
      </c>
      <c r="E31" s="20">
        <v>2</v>
      </c>
      <c r="F31" s="21" t="s">
        <v>60</v>
      </c>
      <c r="G31" s="22" t="s">
        <v>137</v>
      </c>
      <c r="H31" s="27" t="s">
        <v>23</v>
      </c>
    </row>
    <row r="32" spans="1:8" ht="30" customHeight="1" x14ac:dyDescent="0.2">
      <c r="A32" s="17" t="s">
        <v>130</v>
      </c>
      <c r="B32" s="17" t="s">
        <v>131</v>
      </c>
      <c r="C32" s="18" t="s">
        <v>138</v>
      </c>
      <c r="D32" s="19" t="s">
        <v>139</v>
      </c>
      <c r="E32" s="20">
        <v>2</v>
      </c>
      <c r="F32" s="21" t="s">
        <v>60</v>
      </c>
      <c r="G32" s="22" t="s">
        <v>140</v>
      </c>
      <c r="H32" s="27" t="s">
        <v>23</v>
      </c>
    </row>
    <row r="33" spans="1:8" ht="18" customHeight="1" x14ac:dyDescent="0.2">
      <c r="A33" s="16" t="s">
        <v>141</v>
      </c>
      <c r="B33" s="16" t="s">
        <v>142</v>
      </c>
      <c r="C33" s="16"/>
      <c r="D33" s="16"/>
      <c r="E33" s="16"/>
      <c r="F33" s="16"/>
      <c r="G33" s="22"/>
      <c r="H33" s="22"/>
    </row>
    <row r="34" spans="1:8" ht="30" customHeight="1" x14ac:dyDescent="0.2">
      <c r="A34" s="17" t="s">
        <v>141</v>
      </c>
      <c r="B34" s="17" t="s">
        <v>142</v>
      </c>
      <c r="C34" s="18" t="s">
        <v>143</v>
      </c>
      <c r="D34" s="19" t="s">
        <v>144</v>
      </c>
      <c r="E34" s="29">
        <v>1</v>
      </c>
      <c r="F34" s="21" t="s">
        <v>45</v>
      </c>
      <c r="G34" s="22" t="s">
        <v>145</v>
      </c>
      <c r="H34" s="22" t="s">
        <v>146</v>
      </c>
    </row>
    <row r="35" spans="1:8" ht="30" customHeight="1" x14ac:dyDescent="0.2">
      <c r="A35" s="24" t="s">
        <v>141</v>
      </c>
      <c r="B35" s="24" t="s">
        <v>142</v>
      </c>
      <c r="C35" s="25" t="s">
        <v>147</v>
      </c>
      <c r="D35" s="26" t="s">
        <v>148</v>
      </c>
      <c r="E35" s="20">
        <v>2</v>
      </c>
      <c r="F35" s="21" t="s">
        <v>45</v>
      </c>
      <c r="G35" s="22" t="s">
        <v>149</v>
      </c>
      <c r="H35" s="22" t="s">
        <v>150</v>
      </c>
    </row>
    <row r="36" spans="1:8" ht="30" customHeight="1" x14ac:dyDescent="0.2">
      <c r="A36" s="17" t="s">
        <v>141</v>
      </c>
      <c r="B36" s="17" t="s">
        <v>142</v>
      </c>
      <c r="C36" s="18" t="s">
        <v>151</v>
      </c>
      <c r="D36" s="19" t="s">
        <v>152</v>
      </c>
      <c r="E36" s="30">
        <v>3</v>
      </c>
      <c r="F36" s="21" t="s">
        <v>45</v>
      </c>
      <c r="G36" s="22" t="s">
        <v>153</v>
      </c>
      <c r="H36" s="22" t="s">
        <v>154</v>
      </c>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topLeftCell="C1" zoomScaleNormal="73" workbookViewId="0">
      <pane ySplit="1" topLeftCell="A7" activePane="bottomLeft" state="frozen"/>
      <selection activeCell="C1" sqref="C1"/>
      <selection pane="bottomLeft" activeCell="H19" sqref="H19"/>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8.33203125" customWidth="1"/>
    <col min="8" max="8" width="35" customWidth="1"/>
  </cols>
  <sheetData>
    <row r="1" spans="1:8" ht="28" customHeight="1" x14ac:dyDescent="0.2">
      <c r="A1" s="15" t="s">
        <v>33</v>
      </c>
      <c r="B1" s="15" t="s">
        <v>34</v>
      </c>
      <c r="C1" s="15" t="s">
        <v>35</v>
      </c>
      <c r="D1" s="15" t="s">
        <v>36</v>
      </c>
      <c r="E1" s="15" t="s">
        <v>37</v>
      </c>
      <c r="F1" s="15" t="s">
        <v>38</v>
      </c>
      <c r="G1" s="15" t="s">
        <v>39</v>
      </c>
      <c r="H1" s="15" t="s">
        <v>40</v>
      </c>
    </row>
    <row r="2" spans="1:8" ht="18" customHeight="1" x14ac:dyDescent="0.2">
      <c r="A2" s="16" t="s">
        <v>155</v>
      </c>
      <c r="B2" s="16" t="s">
        <v>156</v>
      </c>
      <c r="C2" s="16"/>
      <c r="D2" s="16"/>
      <c r="E2" s="16"/>
      <c r="F2" s="16"/>
      <c r="G2" s="16"/>
      <c r="H2" s="16"/>
    </row>
    <row r="3" spans="1:8" ht="73.5" customHeight="1" x14ac:dyDescent="0.2">
      <c r="A3" s="17" t="s">
        <v>155</v>
      </c>
      <c r="B3" s="17" t="s">
        <v>156</v>
      </c>
      <c r="C3" s="18" t="s">
        <v>157</v>
      </c>
      <c r="D3" s="19" t="s">
        <v>158</v>
      </c>
      <c r="E3" s="29">
        <v>1</v>
      </c>
      <c r="F3" s="21" t="s">
        <v>45</v>
      </c>
      <c r="G3" s="22" t="s">
        <v>159</v>
      </c>
      <c r="H3" s="22" t="s">
        <v>160</v>
      </c>
    </row>
    <row r="4" spans="1:8" ht="47" customHeight="1" x14ac:dyDescent="0.2">
      <c r="A4" s="24" t="s">
        <v>155</v>
      </c>
      <c r="B4" s="24" t="s">
        <v>156</v>
      </c>
      <c r="C4" s="25" t="s">
        <v>161</v>
      </c>
      <c r="D4" s="26" t="s">
        <v>162</v>
      </c>
      <c r="E4" s="20">
        <v>2</v>
      </c>
      <c r="F4" s="21" t="s">
        <v>45</v>
      </c>
      <c r="G4" s="27" t="s">
        <v>163</v>
      </c>
      <c r="H4" s="23" t="s">
        <v>164</v>
      </c>
    </row>
    <row r="5" spans="1:8" ht="46" customHeight="1" x14ac:dyDescent="0.2">
      <c r="A5" s="17" t="s">
        <v>155</v>
      </c>
      <c r="B5" s="17" t="s">
        <v>156</v>
      </c>
      <c r="C5" s="18" t="s">
        <v>165</v>
      </c>
      <c r="D5" s="19" t="s">
        <v>166</v>
      </c>
      <c r="E5" s="20">
        <v>2</v>
      </c>
      <c r="F5" s="21" t="s">
        <v>45</v>
      </c>
      <c r="G5" s="22" t="s">
        <v>167</v>
      </c>
      <c r="H5" s="22" t="s">
        <v>168</v>
      </c>
    </row>
    <row r="6" spans="1:8" ht="18" customHeight="1" x14ac:dyDescent="0.2">
      <c r="A6" s="16" t="s">
        <v>169</v>
      </c>
      <c r="B6" s="16" t="s">
        <v>170</v>
      </c>
      <c r="C6" s="16"/>
      <c r="D6" s="16"/>
      <c r="E6" s="16"/>
      <c r="F6" s="16"/>
      <c r="G6" s="28"/>
      <c r="H6" s="28"/>
    </row>
    <row r="7" spans="1:8" ht="30" customHeight="1" x14ac:dyDescent="0.2">
      <c r="A7" s="17" t="s">
        <v>169</v>
      </c>
      <c r="B7" s="17" t="s">
        <v>170</v>
      </c>
      <c r="C7" s="18" t="s">
        <v>171</v>
      </c>
      <c r="D7" s="19" t="s">
        <v>172</v>
      </c>
      <c r="E7" s="29">
        <v>1</v>
      </c>
      <c r="F7" s="21" t="s">
        <v>45</v>
      </c>
      <c r="G7" s="22" t="s">
        <v>173</v>
      </c>
      <c r="H7" s="22" t="s">
        <v>174</v>
      </c>
    </row>
    <row r="8" spans="1:8" ht="30" customHeight="1" x14ac:dyDescent="0.2">
      <c r="A8" s="24" t="s">
        <v>169</v>
      </c>
      <c r="B8" s="24" t="s">
        <v>170</v>
      </c>
      <c r="C8" s="25" t="s">
        <v>175</v>
      </c>
      <c r="D8" s="26" t="s">
        <v>176</v>
      </c>
      <c r="E8" s="29">
        <v>1</v>
      </c>
      <c r="F8" s="21" t="s">
        <v>45</v>
      </c>
      <c r="G8" s="27" t="s">
        <v>177</v>
      </c>
      <c r="H8" s="27" t="s">
        <v>178</v>
      </c>
    </row>
    <row r="9" spans="1:8" ht="30" customHeight="1" x14ac:dyDescent="0.2">
      <c r="A9" s="17" t="s">
        <v>169</v>
      </c>
      <c r="B9" s="17" t="s">
        <v>170</v>
      </c>
      <c r="C9" s="18" t="s">
        <v>179</v>
      </c>
      <c r="D9" s="19" t="s">
        <v>180</v>
      </c>
      <c r="E9" s="20">
        <v>2</v>
      </c>
      <c r="F9" s="21" t="s">
        <v>181</v>
      </c>
      <c r="G9" s="22"/>
      <c r="H9" s="22" t="s">
        <v>182</v>
      </c>
    </row>
    <row r="10" spans="1:8" ht="18" customHeight="1" x14ac:dyDescent="0.2">
      <c r="A10" s="16" t="s">
        <v>183</v>
      </c>
      <c r="B10" s="16" t="s">
        <v>184</v>
      </c>
      <c r="C10" s="16"/>
      <c r="D10" s="16"/>
      <c r="E10" s="16"/>
      <c r="F10" s="16"/>
      <c r="G10" s="28"/>
      <c r="H10" s="28"/>
    </row>
    <row r="11" spans="1:8" ht="30" customHeight="1" x14ac:dyDescent="0.2">
      <c r="A11" s="17" t="s">
        <v>183</v>
      </c>
      <c r="B11" s="17" t="s">
        <v>184</v>
      </c>
      <c r="C11" s="18" t="s">
        <v>185</v>
      </c>
      <c r="D11" s="19" t="s">
        <v>186</v>
      </c>
      <c r="E11" s="29">
        <v>1</v>
      </c>
      <c r="F11" s="21" t="s">
        <v>45</v>
      </c>
      <c r="G11" s="22" t="s">
        <v>187</v>
      </c>
      <c r="H11" s="22" t="s">
        <v>164</v>
      </c>
    </row>
    <row r="12" spans="1:8" ht="30" customHeight="1" x14ac:dyDescent="0.2">
      <c r="A12" s="24" t="s">
        <v>183</v>
      </c>
      <c r="B12" s="24" t="s">
        <v>184</v>
      </c>
      <c r="C12" s="25" t="s">
        <v>188</v>
      </c>
      <c r="D12" s="26" t="s">
        <v>189</v>
      </c>
      <c r="E12" s="20">
        <v>2</v>
      </c>
      <c r="F12" s="21" t="s">
        <v>45</v>
      </c>
      <c r="G12" s="27" t="s">
        <v>190</v>
      </c>
      <c r="H12" s="31" t="s">
        <v>191</v>
      </c>
    </row>
    <row r="13" spans="1:8" ht="30" customHeight="1" x14ac:dyDescent="0.2">
      <c r="A13" s="17" t="s">
        <v>183</v>
      </c>
      <c r="B13" s="17" t="s">
        <v>184</v>
      </c>
      <c r="C13" s="18" t="s">
        <v>192</v>
      </c>
      <c r="D13" s="19" t="s">
        <v>193</v>
      </c>
      <c r="E13" s="20">
        <v>2</v>
      </c>
      <c r="F13" s="21" t="s">
        <v>45</v>
      </c>
      <c r="G13" s="22" t="s">
        <v>194</v>
      </c>
      <c r="H13" s="22" t="s">
        <v>123</v>
      </c>
    </row>
    <row r="14" spans="1:8" ht="30" customHeight="1" x14ac:dyDescent="0.2">
      <c r="A14" s="24" t="s">
        <v>183</v>
      </c>
      <c r="B14" s="24" t="s">
        <v>184</v>
      </c>
      <c r="C14" s="25" t="s">
        <v>195</v>
      </c>
      <c r="D14" s="26" t="s">
        <v>196</v>
      </c>
      <c r="E14" s="20">
        <v>2</v>
      </c>
      <c r="F14" s="21" t="s">
        <v>60</v>
      </c>
      <c r="G14" s="27" t="s">
        <v>197</v>
      </c>
      <c r="H14" s="27" t="s">
        <v>23</v>
      </c>
    </row>
    <row r="15" spans="1:8" ht="30" customHeight="1" x14ac:dyDescent="0.2">
      <c r="A15" s="17" t="s">
        <v>183</v>
      </c>
      <c r="B15" s="17" t="s">
        <v>184</v>
      </c>
      <c r="C15" s="18" t="s">
        <v>198</v>
      </c>
      <c r="D15" s="19" t="s">
        <v>199</v>
      </c>
      <c r="E15" s="30">
        <v>3</v>
      </c>
      <c r="F15" s="21" t="s">
        <v>60</v>
      </c>
      <c r="G15" s="22" t="s">
        <v>200</v>
      </c>
      <c r="H15" s="22" t="s">
        <v>23</v>
      </c>
    </row>
    <row r="16" spans="1:8" ht="18" customHeight="1" x14ac:dyDescent="0.2">
      <c r="A16" s="16" t="s">
        <v>201</v>
      </c>
      <c r="B16" s="16" t="s">
        <v>202</v>
      </c>
      <c r="C16" s="16"/>
      <c r="D16" s="16"/>
      <c r="E16" s="16"/>
      <c r="F16" s="16"/>
      <c r="G16" s="28"/>
      <c r="H16" s="28"/>
    </row>
    <row r="17" spans="1:8" ht="59.25" customHeight="1" x14ac:dyDescent="0.2">
      <c r="A17" s="17" t="s">
        <v>201</v>
      </c>
      <c r="B17" s="17" t="s">
        <v>202</v>
      </c>
      <c r="C17" s="18" t="s">
        <v>203</v>
      </c>
      <c r="D17" s="19" t="s">
        <v>204</v>
      </c>
      <c r="E17" s="20">
        <v>2</v>
      </c>
      <c r="F17" s="21" t="s">
        <v>205</v>
      </c>
      <c r="G17" s="31" t="s">
        <v>206</v>
      </c>
      <c r="H17" s="22" t="s">
        <v>207</v>
      </c>
    </row>
    <row r="18" spans="1:8" ht="30" customHeight="1" x14ac:dyDescent="0.2">
      <c r="A18" s="24" t="s">
        <v>201</v>
      </c>
      <c r="B18" s="24" t="s">
        <v>202</v>
      </c>
      <c r="C18" s="25" t="s">
        <v>208</v>
      </c>
      <c r="D18" s="26" t="s">
        <v>209</v>
      </c>
      <c r="E18" s="30">
        <v>3</v>
      </c>
      <c r="F18" s="21" t="s">
        <v>60</v>
      </c>
      <c r="G18" s="27" t="s">
        <v>210</v>
      </c>
      <c r="H18" s="27" t="s">
        <v>23</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topLeftCell="D1" zoomScale="73" zoomScaleNormal="73" workbookViewId="0">
      <pane ySplit="1" topLeftCell="A25" activePane="bottomLeft" state="frozen"/>
      <selection activeCell="D1" sqref="D1"/>
      <selection pane="bottomLeft" activeCell="I29" sqref="I29"/>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54.5" customWidth="1"/>
    <col min="8" max="8" width="35" customWidth="1"/>
  </cols>
  <sheetData>
    <row r="1" spans="1:8" ht="28" customHeight="1" x14ac:dyDescent="0.2">
      <c r="A1" s="15" t="s">
        <v>33</v>
      </c>
      <c r="B1" s="15" t="s">
        <v>34</v>
      </c>
      <c r="C1" s="15" t="s">
        <v>35</v>
      </c>
      <c r="D1" s="15" t="s">
        <v>36</v>
      </c>
      <c r="E1" s="15" t="s">
        <v>37</v>
      </c>
      <c r="F1" s="15" t="s">
        <v>38</v>
      </c>
      <c r="G1" s="15" t="s">
        <v>39</v>
      </c>
      <c r="H1" s="15" t="s">
        <v>40</v>
      </c>
    </row>
    <row r="2" spans="1:8" ht="18" customHeight="1" x14ac:dyDescent="0.2">
      <c r="A2" s="16" t="s">
        <v>211</v>
      </c>
      <c r="B2" s="16" t="s">
        <v>212</v>
      </c>
      <c r="C2" s="16"/>
      <c r="D2" s="16"/>
      <c r="E2" s="16"/>
      <c r="F2" s="16"/>
      <c r="G2" s="16"/>
      <c r="H2" s="16"/>
    </row>
    <row r="3" spans="1:8" ht="55.25" customHeight="1" x14ac:dyDescent="0.2">
      <c r="A3" s="17" t="s">
        <v>211</v>
      </c>
      <c r="B3" s="17" t="s">
        <v>212</v>
      </c>
      <c r="C3" s="18" t="s">
        <v>213</v>
      </c>
      <c r="D3" s="19" t="s">
        <v>214</v>
      </c>
      <c r="E3" s="30">
        <v>3</v>
      </c>
      <c r="F3" s="21" t="s">
        <v>60</v>
      </c>
      <c r="G3" s="32" t="s">
        <v>215</v>
      </c>
      <c r="H3" s="32" t="s">
        <v>23</v>
      </c>
    </row>
    <row r="4" spans="1:8" ht="18" customHeight="1" x14ac:dyDescent="0.2">
      <c r="A4" s="16" t="s">
        <v>216</v>
      </c>
      <c r="B4" s="16" t="s">
        <v>217</v>
      </c>
      <c r="C4" s="16"/>
      <c r="D4" s="16"/>
      <c r="E4" s="16"/>
      <c r="F4" s="16"/>
      <c r="G4" s="33"/>
      <c r="H4" s="16"/>
    </row>
    <row r="5" spans="1:8" ht="27.5" customHeight="1" x14ac:dyDescent="0.2">
      <c r="A5" s="17" t="s">
        <v>216</v>
      </c>
      <c r="B5" s="17" t="s">
        <v>217</v>
      </c>
      <c r="C5" s="18" t="s">
        <v>218</v>
      </c>
      <c r="D5" s="19" t="s">
        <v>219</v>
      </c>
      <c r="E5" s="29">
        <v>1</v>
      </c>
      <c r="F5" s="21" t="s">
        <v>60</v>
      </c>
      <c r="G5" s="32" t="s">
        <v>220</v>
      </c>
      <c r="H5" s="32" t="s">
        <v>23</v>
      </c>
    </row>
    <row r="6" spans="1:8" ht="23.5" customHeight="1" x14ac:dyDescent="0.2">
      <c r="A6" s="24" t="s">
        <v>216</v>
      </c>
      <c r="B6" s="24" t="s">
        <v>217</v>
      </c>
      <c r="C6" s="25" t="s">
        <v>221</v>
      </c>
      <c r="D6" s="26" t="s">
        <v>222</v>
      </c>
      <c r="E6" s="29">
        <v>1</v>
      </c>
      <c r="F6" s="21" t="s">
        <v>60</v>
      </c>
      <c r="G6" s="32" t="s">
        <v>223</v>
      </c>
      <c r="H6" s="32" t="s">
        <v>23</v>
      </c>
    </row>
    <row r="7" spans="1:8" ht="21.5" customHeight="1" x14ac:dyDescent="0.2">
      <c r="A7" s="17" t="s">
        <v>216</v>
      </c>
      <c r="B7" s="17" t="s">
        <v>217</v>
      </c>
      <c r="C7" s="18" t="s">
        <v>224</v>
      </c>
      <c r="D7" s="19" t="s">
        <v>225</v>
      </c>
      <c r="E7" s="30">
        <v>3</v>
      </c>
      <c r="F7" s="21" t="s">
        <v>60</v>
      </c>
      <c r="G7" s="32" t="s">
        <v>226</v>
      </c>
      <c r="H7" s="32" t="s">
        <v>23</v>
      </c>
    </row>
    <row r="8" spans="1:8" ht="18.5" customHeight="1" x14ac:dyDescent="0.2">
      <c r="A8" s="16" t="s">
        <v>227</v>
      </c>
      <c r="B8" s="16" t="s">
        <v>228</v>
      </c>
      <c r="C8" s="16"/>
      <c r="D8" s="16"/>
      <c r="E8" s="16"/>
      <c r="F8" s="16"/>
      <c r="G8" s="33"/>
      <c r="H8" s="16"/>
    </row>
    <row r="9" spans="1:8" ht="18.5" customHeight="1" x14ac:dyDescent="0.2">
      <c r="A9" s="17" t="s">
        <v>227</v>
      </c>
      <c r="B9" s="17" t="s">
        <v>228</v>
      </c>
      <c r="C9" s="18" t="s">
        <v>229</v>
      </c>
      <c r="D9" s="19" t="s">
        <v>230</v>
      </c>
      <c r="E9" s="29">
        <v>1</v>
      </c>
      <c r="F9" s="21" t="s">
        <v>60</v>
      </c>
      <c r="G9" s="32" t="s">
        <v>231</v>
      </c>
      <c r="H9" s="32" t="s">
        <v>23</v>
      </c>
    </row>
    <row r="10" spans="1:8" ht="21.5" customHeight="1" x14ac:dyDescent="0.2">
      <c r="A10" s="24" t="s">
        <v>227</v>
      </c>
      <c r="B10" s="24" t="s">
        <v>228</v>
      </c>
      <c r="C10" s="25" t="s">
        <v>232</v>
      </c>
      <c r="D10" s="26" t="s">
        <v>233</v>
      </c>
      <c r="E10" s="20">
        <v>2</v>
      </c>
      <c r="F10" s="21" t="s">
        <v>60</v>
      </c>
      <c r="G10" s="32" t="s">
        <v>234</v>
      </c>
      <c r="H10" s="32" t="s">
        <v>23</v>
      </c>
    </row>
    <row r="11" spans="1:8" ht="30" customHeight="1" x14ac:dyDescent="0.2">
      <c r="A11" s="17" t="s">
        <v>227</v>
      </c>
      <c r="B11" s="17" t="s">
        <v>228</v>
      </c>
      <c r="C11" s="18" t="s">
        <v>235</v>
      </c>
      <c r="D11" s="19" t="s">
        <v>236</v>
      </c>
      <c r="E11" s="20">
        <v>2</v>
      </c>
      <c r="F11" s="21" t="s">
        <v>60</v>
      </c>
      <c r="G11" s="32" t="s">
        <v>234</v>
      </c>
      <c r="H11" s="32" t="s">
        <v>23</v>
      </c>
    </row>
    <row r="12" spans="1:8" ht="30" customHeight="1" x14ac:dyDescent="0.2">
      <c r="A12" s="24" t="s">
        <v>227</v>
      </c>
      <c r="B12" s="24" t="s">
        <v>228</v>
      </c>
      <c r="C12" s="25" t="s">
        <v>237</v>
      </c>
      <c r="D12" s="26" t="s">
        <v>238</v>
      </c>
      <c r="E12" s="20">
        <v>2</v>
      </c>
      <c r="F12" s="21" t="s">
        <v>60</v>
      </c>
      <c r="G12" s="32" t="s">
        <v>234</v>
      </c>
      <c r="H12" s="32" t="s">
        <v>23</v>
      </c>
    </row>
    <row r="13" spans="1:8" ht="30" customHeight="1" x14ac:dyDescent="0.2">
      <c r="A13" s="17" t="s">
        <v>227</v>
      </c>
      <c r="B13" s="17" t="s">
        <v>228</v>
      </c>
      <c r="C13" s="18" t="s">
        <v>239</v>
      </c>
      <c r="D13" s="19" t="s">
        <v>240</v>
      </c>
      <c r="E13" s="30">
        <v>3</v>
      </c>
      <c r="F13" s="21" t="s">
        <v>60</v>
      </c>
      <c r="G13" s="32" t="s">
        <v>234</v>
      </c>
      <c r="H13" s="32" t="s">
        <v>23</v>
      </c>
    </row>
    <row r="14" spans="1:8" ht="18" customHeight="1" x14ac:dyDescent="0.2">
      <c r="A14" s="16" t="s">
        <v>241</v>
      </c>
      <c r="B14" s="16" t="s">
        <v>242</v>
      </c>
      <c r="C14" s="16"/>
      <c r="D14" s="16"/>
      <c r="E14" s="16"/>
      <c r="F14" s="16"/>
      <c r="G14" s="33"/>
      <c r="H14" s="16"/>
    </row>
    <row r="15" spans="1:8" ht="30" customHeight="1" x14ac:dyDescent="0.2">
      <c r="A15" s="17" t="s">
        <v>241</v>
      </c>
      <c r="B15" s="17" t="s">
        <v>242</v>
      </c>
      <c r="C15" s="18" t="s">
        <v>243</v>
      </c>
      <c r="D15" s="19" t="s">
        <v>244</v>
      </c>
      <c r="E15" s="29">
        <v>1</v>
      </c>
      <c r="F15" s="21" t="s">
        <v>60</v>
      </c>
      <c r="G15" s="32" t="s">
        <v>245</v>
      </c>
      <c r="H15" s="32" t="s">
        <v>23</v>
      </c>
    </row>
    <row r="16" spans="1:8" ht="30" customHeight="1" x14ac:dyDescent="0.2">
      <c r="A16" s="24" t="s">
        <v>241</v>
      </c>
      <c r="B16" s="24" t="s">
        <v>242</v>
      </c>
      <c r="C16" s="25" t="s">
        <v>246</v>
      </c>
      <c r="D16" s="26" t="s">
        <v>247</v>
      </c>
      <c r="E16" s="29">
        <v>1</v>
      </c>
      <c r="F16" s="21" t="s">
        <v>60</v>
      </c>
      <c r="G16" s="32" t="s">
        <v>248</v>
      </c>
      <c r="H16" s="32" t="s">
        <v>23</v>
      </c>
    </row>
    <row r="17" spans="1:8" ht="30" customHeight="1" x14ac:dyDescent="0.2">
      <c r="A17" s="17" t="s">
        <v>241</v>
      </c>
      <c r="B17" s="17" t="s">
        <v>242</v>
      </c>
      <c r="C17" s="18" t="s">
        <v>249</v>
      </c>
      <c r="D17" s="19" t="s">
        <v>250</v>
      </c>
      <c r="E17" s="20">
        <v>2</v>
      </c>
      <c r="F17" s="21" t="s">
        <v>60</v>
      </c>
      <c r="G17" s="32" t="s">
        <v>251</v>
      </c>
      <c r="H17" s="32" t="s">
        <v>23</v>
      </c>
    </row>
    <row r="18" spans="1:8" ht="30" customHeight="1" x14ac:dyDescent="0.2">
      <c r="A18" s="24" t="s">
        <v>241</v>
      </c>
      <c r="B18" s="24" t="s">
        <v>242</v>
      </c>
      <c r="C18" s="25" t="s">
        <v>252</v>
      </c>
      <c r="D18" s="26" t="s">
        <v>253</v>
      </c>
      <c r="E18" s="20">
        <v>2</v>
      </c>
      <c r="F18" s="21" t="s">
        <v>60</v>
      </c>
      <c r="G18" s="32" t="s">
        <v>254</v>
      </c>
      <c r="H18" s="32" t="s">
        <v>23</v>
      </c>
    </row>
    <row r="19" spans="1:8" ht="30" customHeight="1" x14ac:dyDescent="0.2">
      <c r="A19" s="17" t="s">
        <v>241</v>
      </c>
      <c r="B19" s="17" t="s">
        <v>242</v>
      </c>
      <c r="C19" s="18" t="s">
        <v>255</v>
      </c>
      <c r="D19" s="19" t="s">
        <v>256</v>
      </c>
      <c r="E19" s="20">
        <v>2</v>
      </c>
      <c r="F19" s="21" t="s">
        <v>60</v>
      </c>
      <c r="G19" s="32" t="s">
        <v>257</v>
      </c>
      <c r="H19" s="32" t="s">
        <v>23</v>
      </c>
    </row>
    <row r="20" spans="1:8" ht="30" customHeight="1" x14ac:dyDescent="0.2">
      <c r="A20" s="24" t="s">
        <v>241</v>
      </c>
      <c r="B20" s="24" t="s">
        <v>242</v>
      </c>
      <c r="C20" s="25" t="s">
        <v>258</v>
      </c>
      <c r="D20" s="26" t="s">
        <v>259</v>
      </c>
      <c r="E20" s="20">
        <v>2</v>
      </c>
      <c r="F20" s="21" t="s">
        <v>60</v>
      </c>
      <c r="G20" s="32" t="s">
        <v>260</v>
      </c>
      <c r="H20" s="32" t="s">
        <v>23</v>
      </c>
    </row>
    <row r="21" spans="1:8" ht="30" customHeight="1" x14ac:dyDescent="0.2">
      <c r="A21" s="17" t="s">
        <v>241</v>
      </c>
      <c r="B21" s="17" t="s">
        <v>242</v>
      </c>
      <c r="C21" s="18" t="s">
        <v>261</v>
      </c>
      <c r="D21" s="19" t="s">
        <v>262</v>
      </c>
      <c r="E21" s="30">
        <v>3</v>
      </c>
      <c r="F21" s="21" t="s">
        <v>60</v>
      </c>
      <c r="G21" s="32" t="s">
        <v>263</v>
      </c>
      <c r="H21" s="32" t="s">
        <v>23</v>
      </c>
    </row>
    <row r="22" spans="1:8" ht="30" customHeight="1" x14ac:dyDescent="0.2">
      <c r="A22" s="24" t="s">
        <v>241</v>
      </c>
      <c r="B22" s="24" t="s">
        <v>242</v>
      </c>
      <c r="C22" s="25" t="s">
        <v>264</v>
      </c>
      <c r="D22" s="26" t="s">
        <v>265</v>
      </c>
      <c r="E22" s="30">
        <v>3</v>
      </c>
      <c r="F22" s="21" t="s">
        <v>60</v>
      </c>
      <c r="G22" s="32" t="s">
        <v>266</v>
      </c>
      <c r="H22" s="32" t="s">
        <v>23</v>
      </c>
    </row>
    <row r="23" spans="1:8" ht="18" customHeight="1" x14ac:dyDescent="0.2">
      <c r="A23" s="16" t="s">
        <v>267</v>
      </c>
      <c r="B23" s="16" t="s">
        <v>268</v>
      </c>
      <c r="C23" s="16"/>
      <c r="D23" s="16"/>
      <c r="E23" s="16"/>
      <c r="F23" s="16"/>
      <c r="G23" s="33"/>
      <c r="H23" s="16"/>
    </row>
    <row r="24" spans="1:8" ht="30" customHeight="1" x14ac:dyDescent="0.2">
      <c r="A24" s="17" t="s">
        <v>267</v>
      </c>
      <c r="B24" s="17" t="s">
        <v>268</v>
      </c>
      <c r="C24" s="18" t="s">
        <v>269</v>
      </c>
      <c r="D24" s="19" t="s">
        <v>270</v>
      </c>
      <c r="E24" s="29">
        <v>1</v>
      </c>
      <c r="F24" s="21" t="s">
        <v>60</v>
      </c>
      <c r="G24" s="32" t="s">
        <v>271</v>
      </c>
      <c r="H24" s="32" t="s">
        <v>23</v>
      </c>
    </row>
    <row r="25" spans="1:8" ht="30" customHeight="1" x14ac:dyDescent="0.2">
      <c r="A25" s="24" t="s">
        <v>267</v>
      </c>
      <c r="B25" s="24" t="s">
        <v>268</v>
      </c>
      <c r="C25" s="25" t="s">
        <v>272</v>
      </c>
      <c r="D25" s="26" t="s">
        <v>273</v>
      </c>
      <c r="E25" s="29">
        <v>1</v>
      </c>
      <c r="F25" s="21" t="s">
        <v>60</v>
      </c>
      <c r="G25" s="32" t="s">
        <v>274</v>
      </c>
      <c r="H25" s="32" t="s">
        <v>23</v>
      </c>
    </row>
    <row r="26" spans="1:8" ht="30" customHeight="1" x14ac:dyDescent="0.2">
      <c r="A26" s="17" t="s">
        <v>267</v>
      </c>
      <c r="B26" s="17" t="s">
        <v>268</v>
      </c>
      <c r="C26" s="18" t="s">
        <v>275</v>
      </c>
      <c r="D26" s="19" t="s">
        <v>276</v>
      </c>
      <c r="E26" s="29">
        <v>1</v>
      </c>
      <c r="F26" s="21" t="s">
        <v>45</v>
      </c>
      <c r="G26" s="32" t="s">
        <v>277</v>
      </c>
      <c r="H26" s="32" t="s">
        <v>23</v>
      </c>
    </row>
    <row r="27" spans="1:8" ht="30" customHeight="1" x14ac:dyDescent="0.2">
      <c r="A27" s="24" t="s">
        <v>267</v>
      </c>
      <c r="B27" s="24" t="s">
        <v>268</v>
      </c>
      <c r="C27" s="25" t="s">
        <v>278</v>
      </c>
      <c r="D27" s="26" t="s">
        <v>279</v>
      </c>
      <c r="E27" s="20">
        <v>2</v>
      </c>
      <c r="F27" s="21" t="s">
        <v>60</v>
      </c>
      <c r="G27" s="32" t="s">
        <v>280</v>
      </c>
      <c r="H27" s="32" t="s">
        <v>23</v>
      </c>
    </row>
    <row r="28" spans="1:8" ht="30" customHeight="1" x14ac:dyDescent="0.2">
      <c r="A28" s="17" t="s">
        <v>267</v>
      </c>
      <c r="B28" s="17" t="s">
        <v>268</v>
      </c>
      <c r="C28" s="18" t="s">
        <v>281</v>
      </c>
      <c r="D28" s="19" t="s">
        <v>282</v>
      </c>
      <c r="E28" s="20">
        <v>2</v>
      </c>
      <c r="F28" s="21" t="s">
        <v>60</v>
      </c>
      <c r="G28" s="32" t="s">
        <v>283</v>
      </c>
      <c r="H28" s="32" t="s">
        <v>23</v>
      </c>
    </row>
    <row r="29" spans="1:8" ht="30" customHeight="1" x14ac:dyDescent="0.2">
      <c r="A29" s="24" t="s">
        <v>267</v>
      </c>
      <c r="B29" s="24" t="s">
        <v>268</v>
      </c>
      <c r="C29" s="25" t="s">
        <v>284</v>
      </c>
      <c r="D29" s="26" t="s">
        <v>285</v>
      </c>
      <c r="E29" s="30">
        <v>3</v>
      </c>
      <c r="F29" s="21" t="s">
        <v>60</v>
      </c>
      <c r="G29" s="32" t="s">
        <v>286</v>
      </c>
      <c r="H29" s="32" t="s">
        <v>23</v>
      </c>
    </row>
    <row r="30" spans="1:8" ht="30" customHeight="1" x14ac:dyDescent="0.2">
      <c r="A30" s="17" t="s">
        <v>267</v>
      </c>
      <c r="B30" s="17" t="s">
        <v>268</v>
      </c>
      <c r="C30" s="18" t="s">
        <v>287</v>
      </c>
      <c r="D30" s="19" t="s">
        <v>288</v>
      </c>
      <c r="E30" s="30">
        <v>3</v>
      </c>
      <c r="F30" s="21" t="s">
        <v>60</v>
      </c>
      <c r="G30" s="32" t="s">
        <v>289</v>
      </c>
      <c r="H30" s="32" t="s">
        <v>23</v>
      </c>
    </row>
    <row r="31" spans="1:8" ht="30" customHeight="1" x14ac:dyDescent="0.2">
      <c r="A31" s="24" t="s">
        <v>267</v>
      </c>
      <c r="B31" s="24" t="s">
        <v>268</v>
      </c>
      <c r="C31" s="25" t="s">
        <v>290</v>
      </c>
      <c r="D31" s="26" t="s">
        <v>291</v>
      </c>
      <c r="E31" s="30">
        <v>3</v>
      </c>
      <c r="F31" s="21" t="s">
        <v>60</v>
      </c>
      <c r="G31" s="32" t="s">
        <v>292</v>
      </c>
      <c r="H31" s="32" t="s">
        <v>23</v>
      </c>
    </row>
    <row r="32" spans="1:8" ht="18" customHeight="1" x14ac:dyDescent="0.2">
      <c r="A32" s="16" t="s">
        <v>293</v>
      </c>
      <c r="B32" s="16" t="s">
        <v>294</v>
      </c>
      <c r="C32" s="16"/>
      <c r="D32" s="16"/>
      <c r="E32" s="16"/>
      <c r="F32" s="16"/>
      <c r="G32" s="33"/>
      <c r="H32" s="16"/>
    </row>
    <row r="33" spans="1:8" ht="30" customHeight="1" x14ac:dyDescent="0.2">
      <c r="A33" s="17" t="s">
        <v>293</v>
      </c>
      <c r="B33" s="17" t="s">
        <v>294</v>
      </c>
      <c r="C33" s="18" t="s">
        <v>295</v>
      </c>
      <c r="D33" s="19" t="s">
        <v>296</v>
      </c>
      <c r="E33" s="30">
        <v>3</v>
      </c>
      <c r="F33" s="21" t="s">
        <v>60</v>
      </c>
      <c r="G33" s="32" t="s">
        <v>297</v>
      </c>
      <c r="H33" s="32" t="s">
        <v>23</v>
      </c>
    </row>
    <row r="34" spans="1:8" ht="18" customHeight="1" x14ac:dyDescent="0.2">
      <c r="A34" s="16" t="s">
        <v>298</v>
      </c>
      <c r="B34" s="16" t="s">
        <v>299</v>
      </c>
      <c r="C34" s="16"/>
      <c r="D34" s="16"/>
      <c r="E34" s="16"/>
      <c r="F34" s="16"/>
      <c r="G34" s="33"/>
      <c r="H34" s="16"/>
    </row>
    <row r="35" spans="1:8" ht="30" customHeight="1" x14ac:dyDescent="0.2">
      <c r="A35" s="17" t="s">
        <v>298</v>
      </c>
      <c r="B35" s="17" t="s">
        <v>299</v>
      </c>
      <c r="C35" s="18" t="s">
        <v>300</v>
      </c>
      <c r="D35" s="19" t="s">
        <v>301</v>
      </c>
      <c r="E35" s="20">
        <v>2</v>
      </c>
      <c r="F35" s="21" t="s">
        <v>60</v>
      </c>
      <c r="G35" s="32" t="s">
        <v>302</v>
      </c>
      <c r="H35" s="32" t="s">
        <v>23</v>
      </c>
    </row>
    <row r="36" spans="1:8" ht="30" customHeight="1" x14ac:dyDescent="0.2">
      <c r="A36" s="24" t="s">
        <v>298</v>
      </c>
      <c r="B36" s="24" t="s">
        <v>299</v>
      </c>
      <c r="C36" s="25" t="s">
        <v>303</v>
      </c>
      <c r="D36" s="26" t="s">
        <v>304</v>
      </c>
      <c r="E36" s="20">
        <v>2</v>
      </c>
      <c r="F36" s="21" t="s">
        <v>60</v>
      </c>
      <c r="G36" s="32" t="s">
        <v>305</v>
      </c>
      <c r="H36" s="32" t="s">
        <v>23</v>
      </c>
    </row>
    <row r="37" spans="1:8" ht="30" customHeight="1" x14ac:dyDescent="0.2">
      <c r="A37" s="17" t="s">
        <v>298</v>
      </c>
      <c r="B37" s="17" t="s">
        <v>299</v>
      </c>
      <c r="C37" s="18" t="s">
        <v>306</v>
      </c>
      <c r="D37" s="19" t="s">
        <v>307</v>
      </c>
      <c r="E37" s="30">
        <v>3</v>
      </c>
      <c r="F37" s="21" t="s">
        <v>60</v>
      </c>
      <c r="G37" s="32" t="s">
        <v>308</v>
      </c>
      <c r="H37" s="32" t="s">
        <v>23</v>
      </c>
    </row>
    <row r="38" spans="1:8" ht="30" customHeight="1" x14ac:dyDescent="0.2">
      <c r="A38" s="24" t="s">
        <v>298</v>
      </c>
      <c r="B38" s="24" t="s">
        <v>299</v>
      </c>
      <c r="C38" s="25" t="s">
        <v>309</v>
      </c>
      <c r="D38" s="26" t="s">
        <v>310</v>
      </c>
      <c r="E38" s="30">
        <v>3</v>
      </c>
      <c r="F38" s="21" t="s">
        <v>60</v>
      </c>
      <c r="G38" s="32" t="s">
        <v>311</v>
      </c>
      <c r="H38" s="32" t="s">
        <v>23</v>
      </c>
    </row>
    <row r="39" spans="1:8" ht="30" customHeight="1" x14ac:dyDescent="0.2">
      <c r="A39" s="17" t="s">
        <v>298</v>
      </c>
      <c r="B39" s="17" t="s">
        <v>299</v>
      </c>
      <c r="C39" s="18" t="s">
        <v>312</v>
      </c>
      <c r="D39" s="19" t="s">
        <v>313</v>
      </c>
      <c r="E39" s="30">
        <v>3</v>
      </c>
      <c r="F39" s="21" t="s">
        <v>60</v>
      </c>
      <c r="G39" s="32" t="s">
        <v>314</v>
      </c>
      <c r="H39" s="32" t="s">
        <v>23</v>
      </c>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topLeftCell="C1" zoomScale="73" zoomScaleNormal="73" workbookViewId="0">
      <pane ySplit="1" topLeftCell="A2" activePane="bottomLeft" state="frozen"/>
      <selection activeCell="C1" sqref="C1"/>
      <selection pane="bottomLeft" activeCell="H3" sqref="H3"/>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5" t="s">
        <v>33</v>
      </c>
      <c r="B1" s="15" t="s">
        <v>34</v>
      </c>
      <c r="C1" s="15" t="s">
        <v>35</v>
      </c>
      <c r="D1" s="15" t="s">
        <v>36</v>
      </c>
      <c r="E1" s="15" t="s">
        <v>37</v>
      </c>
      <c r="F1" s="15" t="s">
        <v>38</v>
      </c>
      <c r="G1" s="15" t="s">
        <v>39</v>
      </c>
      <c r="H1" s="15" t="s">
        <v>40</v>
      </c>
    </row>
    <row r="2" spans="1:8" ht="18" customHeight="1" x14ac:dyDescent="0.2">
      <c r="A2" s="16" t="s">
        <v>315</v>
      </c>
      <c r="B2" s="16" t="s">
        <v>316</v>
      </c>
      <c r="C2" s="16"/>
      <c r="D2" s="16"/>
      <c r="E2" s="16"/>
      <c r="F2" s="16"/>
      <c r="G2" s="16"/>
      <c r="H2" s="16"/>
    </row>
    <row r="3" spans="1:8" ht="30" customHeight="1" x14ac:dyDescent="0.2">
      <c r="A3" s="17" t="s">
        <v>315</v>
      </c>
      <c r="B3" s="17" t="s">
        <v>316</v>
      </c>
      <c r="C3" s="18" t="s">
        <v>317</v>
      </c>
      <c r="D3" s="19" t="s">
        <v>318</v>
      </c>
      <c r="E3" s="29">
        <v>1</v>
      </c>
      <c r="F3" s="21" t="s">
        <v>45</v>
      </c>
      <c r="G3" s="19" t="s">
        <v>319</v>
      </c>
      <c r="H3" s="19" t="s">
        <v>320</v>
      </c>
    </row>
    <row r="4" spans="1:8" ht="30" customHeight="1" x14ac:dyDescent="0.2">
      <c r="A4" s="24" t="s">
        <v>315</v>
      </c>
      <c r="B4" s="24" t="s">
        <v>316</v>
      </c>
      <c r="C4" s="25" t="s">
        <v>321</v>
      </c>
      <c r="D4" s="26" t="s">
        <v>322</v>
      </c>
      <c r="E4" s="20">
        <v>2</v>
      </c>
      <c r="F4" s="21" t="s">
        <v>205</v>
      </c>
      <c r="G4" s="31" t="s">
        <v>323</v>
      </c>
      <c r="H4" s="31" t="s">
        <v>324</v>
      </c>
    </row>
    <row r="5" spans="1:8" ht="30" customHeight="1" x14ac:dyDescent="0.2">
      <c r="A5" s="17" t="s">
        <v>315</v>
      </c>
      <c r="B5" s="17" t="s">
        <v>316</v>
      </c>
      <c r="C5" s="18" t="s">
        <v>325</v>
      </c>
      <c r="D5" s="19" t="s">
        <v>326</v>
      </c>
      <c r="E5" s="20">
        <v>2</v>
      </c>
      <c r="F5" s="21" t="s">
        <v>60</v>
      </c>
      <c r="G5" s="31" t="s">
        <v>327</v>
      </c>
      <c r="H5" s="19" t="s">
        <v>23</v>
      </c>
    </row>
    <row r="6" spans="1:8" ht="30" customHeight="1" x14ac:dyDescent="0.2">
      <c r="A6" s="24" t="s">
        <v>315</v>
      </c>
      <c r="B6" s="24" t="s">
        <v>316</v>
      </c>
      <c r="C6" s="25" t="s">
        <v>328</v>
      </c>
      <c r="D6" s="26" t="s">
        <v>329</v>
      </c>
      <c r="E6" s="30">
        <v>3</v>
      </c>
      <c r="F6" s="21" t="s">
        <v>205</v>
      </c>
      <c r="G6" s="31" t="s">
        <v>330</v>
      </c>
      <c r="H6" s="31" t="s">
        <v>331</v>
      </c>
    </row>
    <row r="7" spans="1:8" ht="30" customHeight="1" x14ac:dyDescent="0.2">
      <c r="A7" s="17" t="s">
        <v>315</v>
      </c>
      <c r="B7" s="17" t="s">
        <v>316</v>
      </c>
      <c r="C7" s="18" t="s">
        <v>332</v>
      </c>
      <c r="D7" s="19" t="s">
        <v>333</v>
      </c>
      <c r="E7" s="30">
        <v>3</v>
      </c>
      <c r="F7" s="21" t="s">
        <v>60</v>
      </c>
      <c r="G7" s="19" t="s">
        <v>334</v>
      </c>
      <c r="H7" s="19" t="s">
        <v>23</v>
      </c>
    </row>
    <row r="8" spans="1:8" ht="18" customHeight="1" x14ac:dyDescent="0.2">
      <c r="A8" s="16" t="s">
        <v>335</v>
      </c>
      <c r="B8" s="16" t="s">
        <v>336</v>
      </c>
      <c r="C8" s="16"/>
      <c r="D8" s="16"/>
      <c r="E8" s="16"/>
      <c r="F8" s="16"/>
      <c r="G8" s="16"/>
      <c r="H8" s="16"/>
    </row>
    <row r="9" spans="1:8" ht="30" customHeight="1" x14ac:dyDescent="0.2">
      <c r="A9" s="17" t="s">
        <v>335</v>
      </c>
      <c r="B9" s="17" t="s">
        <v>336</v>
      </c>
      <c r="C9" s="18" t="s">
        <v>337</v>
      </c>
      <c r="D9" s="19" t="s">
        <v>338</v>
      </c>
      <c r="E9" s="20">
        <v>2</v>
      </c>
      <c r="F9" s="21" t="s">
        <v>60</v>
      </c>
      <c r="G9" s="31" t="s">
        <v>339</v>
      </c>
      <c r="H9" s="19" t="s">
        <v>23</v>
      </c>
    </row>
    <row r="10" spans="1:8" ht="30" customHeight="1" x14ac:dyDescent="0.2">
      <c r="A10" s="24" t="s">
        <v>335</v>
      </c>
      <c r="B10" s="24" t="s">
        <v>336</v>
      </c>
      <c r="C10" s="25" t="s">
        <v>340</v>
      </c>
      <c r="D10" s="26" t="s">
        <v>341</v>
      </c>
      <c r="E10" s="30">
        <v>3</v>
      </c>
      <c r="F10" s="21" t="s">
        <v>60</v>
      </c>
      <c r="G10" s="26" t="s">
        <v>342</v>
      </c>
      <c r="H10" s="26" t="s">
        <v>343</v>
      </c>
    </row>
    <row r="11" spans="1:8" ht="30" customHeight="1" x14ac:dyDescent="0.2">
      <c r="A11" s="17" t="s">
        <v>335</v>
      </c>
      <c r="B11" s="17" t="s">
        <v>336</v>
      </c>
      <c r="C11" s="18" t="s">
        <v>344</v>
      </c>
      <c r="D11" s="19" t="s">
        <v>345</v>
      </c>
      <c r="E11" s="30">
        <v>3</v>
      </c>
      <c r="F11" s="21" t="s">
        <v>60</v>
      </c>
      <c r="G11" s="26" t="s">
        <v>342</v>
      </c>
      <c r="H11" s="26" t="s">
        <v>343</v>
      </c>
    </row>
    <row r="12" spans="1:8" ht="30" customHeight="1" x14ac:dyDescent="0.2">
      <c r="A12" s="24" t="s">
        <v>335</v>
      </c>
      <c r="B12" s="24" t="s">
        <v>336</v>
      </c>
      <c r="C12" s="25" t="s">
        <v>346</v>
      </c>
      <c r="D12" s="26" t="s">
        <v>347</v>
      </c>
      <c r="E12" s="30">
        <v>3</v>
      </c>
      <c r="F12" s="21" t="s">
        <v>60</v>
      </c>
      <c r="G12" s="26" t="s">
        <v>342</v>
      </c>
      <c r="H12" s="26" t="s">
        <v>343</v>
      </c>
    </row>
    <row r="13" spans="1:8" ht="30" customHeight="1" x14ac:dyDescent="0.2">
      <c r="A13" s="17" t="s">
        <v>335</v>
      </c>
      <c r="B13" s="17" t="s">
        <v>336</v>
      </c>
      <c r="C13" s="18" t="s">
        <v>348</v>
      </c>
      <c r="D13" s="19" t="s">
        <v>349</v>
      </c>
      <c r="E13" s="30">
        <v>3</v>
      </c>
      <c r="F13" s="21" t="s">
        <v>60</v>
      </c>
      <c r="G13" s="26" t="s">
        <v>342</v>
      </c>
      <c r="H13" s="26" t="s">
        <v>343</v>
      </c>
    </row>
    <row r="14" spans="1:8" ht="18" customHeight="1" x14ac:dyDescent="0.2">
      <c r="A14" s="16" t="s">
        <v>350</v>
      </c>
      <c r="B14" s="16" t="s">
        <v>351</v>
      </c>
      <c r="C14" s="16"/>
      <c r="D14" s="16"/>
      <c r="E14" s="16"/>
      <c r="F14" s="16"/>
      <c r="G14" s="16"/>
      <c r="H14" s="16"/>
    </row>
    <row r="15" spans="1:8" ht="30" customHeight="1" x14ac:dyDescent="0.2">
      <c r="A15" s="17" t="s">
        <v>350</v>
      </c>
      <c r="B15" s="17" t="s">
        <v>351</v>
      </c>
      <c r="C15" s="18" t="s">
        <v>352</v>
      </c>
      <c r="D15" s="19" t="s">
        <v>353</v>
      </c>
      <c r="E15" s="20">
        <v>2</v>
      </c>
      <c r="F15" s="21" t="s">
        <v>60</v>
      </c>
      <c r="G15" s="31" t="s">
        <v>354</v>
      </c>
      <c r="H15" s="19" t="s">
        <v>23</v>
      </c>
    </row>
    <row r="16" spans="1:8" ht="30" customHeight="1" x14ac:dyDescent="0.2">
      <c r="A16" s="24" t="s">
        <v>350</v>
      </c>
      <c r="B16" s="24" t="s">
        <v>351</v>
      </c>
      <c r="C16" s="25" t="s">
        <v>355</v>
      </c>
      <c r="D16" s="26" t="s">
        <v>356</v>
      </c>
      <c r="E16" s="20">
        <v>2</v>
      </c>
      <c r="F16" s="21" t="s">
        <v>60</v>
      </c>
      <c r="G16" s="31" t="s">
        <v>354</v>
      </c>
      <c r="H16" s="19" t="s">
        <v>23</v>
      </c>
    </row>
    <row r="17" spans="1:8" ht="18" customHeight="1" x14ac:dyDescent="0.2">
      <c r="A17" s="16" t="s">
        <v>357</v>
      </c>
      <c r="B17" s="16" t="s">
        <v>358</v>
      </c>
      <c r="C17" s="16"/>
      <c r="D17" s="16"/>
      <c r="E17" s="16"/>
      <c r="F17" s="16"/>
      <c r="G17" s="16"/>
      <c r="H17" s="16"/>
    </row>
    <row r="18" spans="1:8" ht="30" customHeight="1" x14ac:dyDescent="0.2">
      <c r="A18" s="17" t="s">
        <v>357</v>
      </c>
      <c r="B18" s="17" t="s">
        <v>358</v>
      </c>
      <c r="C18" s="18" t="s">
        <v>359</v>
      </c>
      <c r="D18" s="19" t="s">
        <v>360</v>
      </c>
      <c r="E18" s="29">
        <v>1</v>
      </c>
      <c r="F18" s="21" t="s">
        <v>60</v>
      </c>
      <c r="G18" s="31" t="s">
        <v>361</v>
      </c>
      <c r="H18" s="19" t="s">
        <v>23</v>
      </c>
    </row>
    <row r="19" spans="1:8" ht="30" customHeight="1" x14ac:dyDescent="0.2">
      <c r="A19" s="24" t="s">
        <v>357</v>
      </c>
      <c r="B19" s="24" t="s">
        <v>358</v>
      </c>
      <c r="C19" s="25" t="s">
        <v>362</v>
      </c>
      <c r="D19" s="26" t="s">
        <v>363</v>
      </c>
      <c r="E19" s="20">
        <v>2</v>
      </c>
      <c r="F19" s="21" t="s">
        <v>60</v>
      </c>
      <c r="G19" s="31" t="s">
        <v>361</v>
      </c>
      <c r="H19" s="19" t="s">
        <v>23</v>
      </c>
    </row>
    <row r="20" spans="1:8" ht="30" customHeight="1" x14ac:dyDescent="0.2">
      <c r="A20" s="17" t="s">
        <v>357</v>
      </c>
      <c r="B20" s="17" t="s">
        <v>358</v>
      </c>
      <c r="C20" s="18" t="s">
        <v>364</v>
      </c>
      <c r="D20" s="19" t="s">
        <v>365</v>
      </c>
      <c r="E20" s="20">
        <v>2</v>
      </c>
      <c r="F20" s="21" t="s">
        <v>60</v>
      </c>
      <c r="G20" s="31" t="s">
        <v>361</v>
      </c>
      <c r="H20" s="19" t="s">
        <v>23</v>
      </c>
    </row>
    <row r="21" spans="1:8" ht="30" customHeight="1" x14ac:dyDescent="0.2">
      <c r="A21" s="24" t="s">
        <v>357</v>
      </c>
      <c r="B21" s="24" t="s">
        <v>358</v>
      </c>
      <c r="C21" s="25" t="s">
        <v>366</v>
      </c>
      <c r="D21" s="26" t="s">
        <v>367</v>
      </c>
      <c r="E21" s="20">
        <v>2</v>
      </c>
      <c r="F21" s="21" t="s">
        <v>60</v>
      </c>
      <c r="G21" s="31" t="s">
        <v>361</v>
      </c>
      <c r="H21" s="19" t="s">
        <v>23</v>
      </c>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zoomScale="73" zoomScaleNormal="73" workbookViewId="0">
      <pane ySplit="1" topLeftCell="A2" activePane="bottomLeft" state="frozen"/>
      <selection pane="bottomLeft" activeCell="H19" sqref="H19"/>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5" t="s">
        <v>33</v>
      </c>
      <c r="B1" s="15" t="s">
        <v>34</v>
      </c>
      <c r="C1" s="15" t="s">
        <v>35</v>
      </c>
      <c r="D1" s="15" t="s">
        <v>36</v>
      </c>
      <c r="E1" s="15" t="s">
        <v>37</v>
      </c>
      <c r="F1" s="15" t="s">
        <v>38</v>
      </c>
      <c r="G1" s="15" t="s">
        <v>39</v>
      </c>
      <c r="H1" s="15" t="s">
        <v>40</v>
      </c>
    </row>
    <row r="2" spans="1:8" ht="18" customHeight="1" x14ac:dyDescent="0.2">
      <c r="A2" s="16" t="s">
        <v>368</v>
      </c>
      <c r="B2" s="16" t="s">
        <v>369</v>
      </c>
      <c r="C2" s="16"/>
      <c r="D2" s="16"/>
      <c r="E2" s="16"/>
      <c r="F2" s="16"/>
      <c r="G2" s="16"/>
      <c r="H2" s="16"/>
    </row>
    <row r="3" spans="1:8" ht="30" customHeight="1" x14ac:dyDescent="0.2">
      <c r="A3" s="17" t="s">
        <v>368</v>
      </c>
      <c r="B3" s="17" t="s">
        <v>369</v>
      </c>
      <c r="C3" s="18" t="s">
        <v>370</v>
      </c>
      <c r="D3" s="19" t="s">
        <v>371</v>
      </c>
      <c r="E3" s="20">
        <v>2</v>
      </c>
      <c r="F3" s="21" t="s">
        <v>45</v>
      </c>
      <c r="G3" s="19" t="s">
        <v>372</v>
      </c>
      <c r="H3" s="19" t="s">
        <v>373</v>
      </c>
    </row>
    <row r="4" spans="1:8" ht="18" customHeight="1" x14ac:dyDescent="0.2">
      <c r="A4" s="16" t="s">
        <v>374</v>
      </c>
      <c r="B4" s="16" t="s">
        <v>375</v>
      </c>
      <c r="C4" s="16"/>
      <c r="D4" s="16"/>
      <c r="E4" s="16"/>
      <c r="F4" s="16"/>
      <c r="G4" s="16"/>
      <c r="H4" s="16"/>
    </row>
    <row r="5" spans="1:8" ht="30" customHeight="1" x14ac:dyDescent="0.2">
      <c r="A5" s="17" t="s">
        <v>374</v>
      </c>
      <c r="B5" s="17" t="s">
        <v>375</v>
      </c>
      <c r="C5" s="18" t="s">
        <v>376</v>
      </c>
      <c r="D5" s="19" t="s">
        <v>377</v>
      </c>
      <c r="E5" s="29">
        <v>1</v>
      </c>
      <c r="F5" s="21" t="s">
        <v>45</v>
      </c>
      <c r="G5" s="19" t="s">
        <v>378</v>
      </c>
      <c r="H5" s="19" t="s">
        <v>379</v>
      </c>
    </row>
    <row r="6" spans="1:8" ht="30" customHeight="1" x14ac:dyDescent="0.2">
      <c r="A6" s="24" t="s">
        <v>374</v>
      </c>
      <c r="B6" s="24" t="s">
        <v>375</v>
      </c>
      <c r="C6" s="25" t="s">
        <v>380</v>
      </c>
      <c r="D6" s="26" t="s">
        <v>381</v>
      </c>
      <c r="E6" s="29">
        <v>1</v>
      </c>
      <c r="F6" s="21" t="s">
        <v>45</v>
      </c>
      <c r="G6" s="26" t="s">
        <v>382</v>
      </c>
      <c r="H6" s="26" t="s">
        <v>383</v>
      </c>
    </row>
    <row r="7" spans="1:8" ht="30" customHeight="1" x14ac:dyDescent="0.2">
      <c r="A7" s="17" t="s">
        <v>374</v>
      </c>
      <c r="B7" s="17" t="s">
        <v>375</v>
      </c>
      <c r="C7" s="18" t="s">
        <v>384</v>
      </c>
      <c r="D7" s="19" t="s">
        <v>385</v>
      </c>
      <c r="E7" s="20">
        <v>2</v>
      </c>
      <c r="F7" s="21" t="s">
        <v>60</v>
      </c>
      <c r="G7" s="19" t="s">
        <v>386</v>
      </c>
      <c r="H7" s="19" t="s">
        <v>23</v>
      </c>
    </row>
    <row r="8" spans="1:8" ht="30" customHeight="1" x14ac:dyDescent="0.2">
      <c r="A8" s="24" t="s">
        <v>374</v>
      </c>
      <c r="B8" s="24" t="s">
        <v>375</v>
      </c>
      <c r="C8" s="25" t="s">
        <v>387</v>
      </c>
      <c r="D8" s="26" t="s">
        <v>388</v>
      </c>
      <c r="E8" s="30">
        <v>3</v>
      </c>
      <c r="F8" s="21" t="s">
        <v>205</v>
      </c>
      <c r="G8" s="26" t="s">
        <v>389</v>
      </c>
      <c r="H8" s="26" t="s">
        <v>390</v>
      </c>
    </row>
    <row r="9" spans="1:8" ht="30" customHeight="1" x14ac:dyDescent="0.2">
      <c r="A9" s="17" t="s">
        <v>374</v>
      </c>
      <c r="B9" s="17" t="s">
        <v>375</v>
      </c>
      <c r="C9" s="18" t="s">
        <v>391</v>
      </c>
      <c r="D9" s="19" t="s">
        <v>392</v>
      </c>
      <c r="E9" s="30">
        <v>3</v>
      </c>
      <c r="F9" s="21" t="s">
        <v>60</v>
      </c>
      <c r="G9" s="19" t="s">
        <v>393</v>
      </c>
      <c r="H9" s="19" t="s">
        <v>23</v>
      </c>
    </row>
    <row r="10" spans="1:8" ht="30" customHeight="1" x14ac:dyDescent="0.2">
      <c r="A10" s="24" t="s">
        <v>374</v>
      </c>
      <c r="B10" s="24" t="s">
        <v>375</v>
      </c>
      <c r="C10" s="25" t="s">
        <v>394</v>
      </c>
      <c r="D10" s="26" t="s">
        <v>395</v>
      </c>
      <c r="E10" s="30">
        <v>3</v>
      </c>
      <c r="F10" s="21" t="s">
        <v>181</v>
      </c>
      <c r="G10" s="26" t="s">
        <v>396</v>
      </c>
      <c r="H10" s="26" t="s">
        <v>397</v>
      </c>
    </row>
    <row r="11" spans="1:8" ht="18" customHeight="1" x14ac:dyDescent="0.2">
      <c r="A11" s="16" t="s">
        <v>398</v>
      </c>
      <c r="B11" s="16" t="s">
        <v>399</v>
      </c>
      <c r="C11" s="16"/>
      <c r="D11" s="16"/>
      <c r="E11" s="16"/>
      <c r="F11" s="16"/>
      <c r="G11" s="16"/>
      <c r="H11" s="16"/>
    </row>
    <row r="12" spans="1:8" ht="30" customHeight="1" x14ac:dyDescent="0.2">
      <c r="A12" s="17" t="s">
        <v>398</v>
      </c>
      <c r="B12" s="17" t="s">
        <v>399</v>
      </c>
      <c r="C12" s="18" t="s">
        <v>400</v>
      </c>
      <c r="D12" s="19" t="s">
        <v>401</v>
      </c>
      <c r="E12" s="29">
        <v>1</v>
      </c>
      <c r="F12" s="21" t="s">
        <v>45</v>
      </c>
      <c r="G12" s="19" t="s">
        <v>402</v>
      </c>
      <c r="H12" s="19" t="s">
        <v>403</v>
      </c>
    </row>
    <row r="13" spans="1:8" ht="30" customHeight="1" x14ac:dyDescent="0.2">
      <c r="A13" s="24" t="s">
        <v>398</v>
      </c>
      <c r="B13" s="24" t="s">
        <v>399</v>
      </c>
      <c r="C13" s="25" t="s">
        <v>404</v>
      </c>
      <c r="D13" s="26" t="s">
        <v>405</v>
      </c>
      <c r="E13" s="29">
        <v>1</v>
      </c>
      <c r="F13" s="21" t="s">
        <v>45</v>
      </c>
      <c r="G13" s="26" t="s">
        <v>406</v>
      </c>
      <c r="H13" s="26" t="s">
        <v>407</v>
      </c>
    </row>
    <row r="14" spans="1:8" ht="30" customHeight="1" x14ac:dyDescent="0.2">
      <c r="A14" s="17" t="s">
        <v>398</v>
      </c>
      <c r="B14" s="17" t="s">
        <v>399</v>
      </c>
      <c r="C14" s="18" t="s">
        <v>408</v>
      </c>
      <c r="D14" s="19" t="s">
        <v>409</v>
      </c>
      <c r="E14" s="30">
        <v>3</v>
      </c>
      <c r="F14" s="21" t="s">
        <v>60</v>
      </c>
      <c r="G14" s="19" t="s">
        <v>410</v>
      </c>
      <c r="H14" s="19" t="s">
        <v>23</v>
      </c>
    </row>
    <row r="15" spans="1:8" ht="18" customHeight="1" x14ac:dyDescent="0.2">
      <c r="A15" s="16" t="s">
        <v>411</v>
      </c>
      <c r="B15" s="16" t="s">
        <v>412</v>
      </c>
      <c r="C15" s="16"/>
      <c r="D15" s="16"/>
      <c r="E15" s="16"/>
      <c r="F15" s="16"/>
      <c r="G15" s="16"/>
      <c r="H15" s="16"/>
    </row>
    <row r="16" spans="1:8" ht="30" customHeight="1" x14ac:dyDescent="0.2">
      <c r="A16" s="17" t="s">
        <v>411</v>
      </c>
      <c r="B16" s="17" t="s">
        <v>412</v>
      </c>
      <c r="C16" s="18" t="s">
        <v>413</v>
      </c>
      <c r="D16" s="19" t="s">
        <v>414</v>
      </c>
      <c r="E16" s="20">
        <v>2</v>
      </c>
      <c r="F16" s="21" t="s">
        <v>45</v>
      </c>
      <c r="G16" s="19" t="s">
        <v>415</v>
      </c>
      <c r="H16" s="19" t="s">
        <v>416</v>
      </c>
    </row>
    <row r="17" spans="1:8" ht="30" customHeight="1" x14ac:dyDescent="0.2">
      <c r="A17" s="24" t="s">
        <v>411</v>
      </c>
      <c r="B17" s="24" t="s">
        <v>412</v>
      </c>
      <c r="C17" s="25" t="s">
        <v>417</v>
      </c>
      <c r="D17" s="26" t="s">
        <v>418</v>
      </c>
      <c r="E17" s="20">
        <v>2</v>
      </c>
      <c r="F17" s="21" t="s">
        <v>205</v>
      </c>
      <c r="G17" s="26" t="s">
        <v>419</v>
      </c>
      <c r="H17" s="26" t="s">
        <v>416</v>
      </c>
    </row>
    <row r="18" spans="1:8" ht="30" customHeight="1" x14ac:dyDescent="0.2">
      <c r="A18" s="17" t="s">
        <v>411</v>
      </c>
      <c r="B18" s="17" t="s">
        <v>412</v>
      </c>
      <c r="C18" s="18" t="s">
        <v>420</v>
      </c>
      <c r="D18" s="19" t="s">
        <v>421</v>
      </c>
      <c r="E18" s="20">
        <v>2</v>
      </c>
      <c r="F18" s="21" t="s">
        <v>181</v>
      </c>
      <c r="G18" s="19" t="s">
        <v>422</v>
      </c>
      <c r="H18" s="19" t="s">
        <v>423</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topLeftCell="C1" zoomScale="73" zoomScaleNormal="73" workbookViewId="0">
      <pane ySplit="1" topLeftCell="A38" activePane="bottomLeft" state="frozen"/>
      <selection activeCell="C1" sqref="C1"/>
      <selection pane="bottomLeft" activeCell="G61" sqref="G61"/>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5" t="s">
        <v>33</v>
      </c>
      <c r="B1" s="15" t="s">
        <v>34</v>
      </c>
      <c r="C1" s="15" t="s">
        <v>35</v>
      </c>
      <c r="D1" s="15" t="s">
        <v>36</v>
      </c>
      <c r="E1" s="15" t="s">
        <v>37</v>
      </c>
      <c r="F1" s="15" t="s">
        <v>38</v>
      </c>
      <c r="G1" s="15" t="s">
        <v>39</v>
      </c>
      <c r="H1" s="15" t="s">
        <v>40</v>
      </c>
    </row>
    <row r="2" spans="1:8" ht="18" customHeight="1" x14ac:dyDescent="0.2">
      <c r="A2" s="16" t="s">
        <v>424</v>
      </c>
      <c r="B2" s="16" t="s">
        <v>425</v>
      </c>
      <c r="C2" s="16"/>
      <c r="D2" s="16"/>
      <c r="E2" s="16"/>
      <c r="F2" s="16"/>
      <c r="G2" s="16"/>
      <c r="H2" s="16"/>
    </row>
    <row r="3" spans="1:8" ht="30" customHeight="1" x14ac:dyDescent="0.2">
      <c r="A3" s="17" t="s">
        <v>424</v>
      </c>
      <c r="B3" s="17" t="s">
        <v>425</v>
      </c>
      <c r="C3" s="18" t="s">
        <v>426</v>
      </c>
      <c r="D3" s="19" t="s">
        <v>427</v>
      </c>
      <c r="E3" s="29">
        <v>1</v>
      </c>
      <c r="F3" s="21" t="s">
        <v>45</v>
      </c>
      <c r="G3" s="19" t="s">
        <v>428</v>
      </c>
      <c r="H3" s="19" t="s">
        <v>429</v>
      </c>
    </row>
    <row r="4" spans="1:8" ht="30" customHeight="1" x14ac:dyDescent="0.2">
      <c r="A4" s="24" t="s">
        <v>424</v>
      </c>
      <c r="B4" s="24" t="s">
        <v>425</v>
      </c>
      <c r="C4" s="25" t="s">
        <v>430</v>
      </c>
      <c r="D4" s="26" t="s">
        <v>431</v>
      </c>
      <c r="E4" s="20">
        <v>2</v>
      </c>
      <c r="F4" s="21" t="s">
        <v>181</v>
      </c>
      <c r="G4" s="26" t="s">
        <v>432</v>
      </c>
      <c r="H4" s="26" t="s">
        <v>433</v>
      </c>
    </row>
    <row r="5" spans="1:8" ht="30" customHeight="1" x14ac:dyDescent="0.2">
      <c r="A5" s="17" t="s">
        <v>424</v>
      </c>
      <c r="B5" s="17" t="s">
        <v>425</v>
      </c>
      <c r="C5" s="18" t="s">
        <v>434</v>
      </c>
      <c r="D5" s="19" t="s">
        <v>435</v>
      </c>
      <c r="E5" s="20">
        <v>2</v>
      </c>
      <c r="F5" s="21" t="s">
        <v>45</v>
      </c>
      <c r="G5" s="19" t="s">
        <v>436</v>
      </c>
      <c r="H5" s="19" t="s">
        <v>437</v>
      </c>
    </row>
    <row r="6" spans="1:8" ht="18" customHeight="1" x14ac:dyDescent="0.2">
      <c r="A6" s="16" t="s">
        <v>438</v>
      </c>
      <c r="B6" s="16" t="s">
        <v>439</v>
      </c>
      <c r="C6" s="16"/>
      <c r="D6" s="16"/>
      <c r="E6" s="16"/>
      <c r="F6" s="16"/>
      <c r="G6" s="16"/>
      <c r="H6" s="16"/>
    </row>
    <row r="7" spans="1:8" ht="30" customHeight="1" x14ac:dyDescent="0.2">
      <c r="A7" s="17" t="s">
        <v>438</v>
      </c>
      <c r="B7" s="17" t="s">
        <v>439</v>
      </c>
      <c r="C7" s="18" t="s">
        <v>440</v>
      </c>
      <c r="D7" s="19" t="s">
        <v>441</v>
      </c>
      <c r="E7" s="29">
        <v>1</v>
      </c>
      <c r="F7" s="21" t="s">
        <v>181</v>
      </c>
      <c r="G7" s="31" t="s">
        <v>442</v>
      </c>
      <c r="H7" s="31" t="s">
        <v>443</v>
      </c>
    </row>
    <row r="8" spans="1:8" ht="30" customHeight="1" x14ac:dyDescent="0.2">
      <c r="A8" s="24" t="s">
        <v>438</v>
      </c>
      <c r="B8" s="24" t="s">
        <v>439</v>
      </c>
      <c r="C8" s="25" t="s">
        <v>444</v>
      </c>
      <c r="D8" s="26" t="s">
        <v>445</v>
      </c>
      <c r="E8" s="29">
        <v>1</v>
      </c>
      <c r="F8" s="21" t="s">
        <v>181</v>
      </c>
      <c r="G8" s="31" t="s">
        <v>446</v>
      </c>
      <c r="H8" s="31" t="s">
        <v>447</v>
      </c>
    </row>
    <row r="9" spans="1:8" ht="30" customHeight="1" x14ac:dyDescent="0.2">
      <c r="A9" s="17" t="s">
        <v>438</v>
      </c>
      <c r="B9" s="17" t="s">
        <v>439</v>
      </c>
      <c r="C9" s="18" t="s">
        <v>448</v>
      </c>
      <c r="D9" s="19" t="s">
        <v>449</v>
      </c>
      <c r="E9" s="29">
        <v>1</v>
      </c>
      <c r="F9" s="21" t="s">
        <v>181</v>
      </c>
      <c r="G9" s="31" t="s">
        <v>450</v>
      </c>
      <c r="H9" s="31" t="s">
        <v>433</v>
      </c>
    </row>
    <row r="10" spans="1:8" ht="30" customHeight="1" x14ac:dyDescent="0.2">
      <c r="A10" s="24" t="s">
        <v>438</v>
      </c>
      <c r="B10" s="24" t="s">
        <v>439</v>
      </c>
      <c r="C10" s="25" t="s">
        <v>451</v>
      </c>
      <c r="D10" s="26" t="s">
        <v>452</v>
      </c>
      <c r="E10" s="29">
        <v>1</v>
      </c>
      <c r="F10" s="21" t="s">
        <v>181</v>
      </c>
      <c r="G10" s="26" t="s">
        <v>453</v>
      </c>
      <c r="H10" s="26" t="s">
        <v>433</v>
      </c>
    </row>
    <row r="11" spans="1:8" ht="30" customHeight="1" x14ac:dyDescent="0.2">
      <c r="A11" s="17" t="s">
        <v>438</v>
      </c>
      <c r="B11" s="17" t="s">
        <v>439</v>
      </c>
      <c r="C11" s="18" t="s">
        <v>454</v>
      </c>
      <c r="D11" s="19" t="s">
        <v>455</v>
      </c>
      <c r="E11" s="29">
        <v>1</v>
      </c>
      <c r="F11" s="21" t="s">
        <v>181</v>
      </c>
      <c r="G11" s="31" t="s">
        <v>456</v>
      </c>
      <c r="H11" s="31" t="s">
        <v>178</v>
      </c>
    </row>
    <row r="12" spans="1:8" ht="30" customHeight="1" x14ac:dyDescent="0.2">
      <c r="A12" s="24" t="s">
        <v>438</v>
      </c>
      <c r="B12" s="24" t="s">
        <v>439</v>
      </c>
      <c r="C12" s="25" t="s">
        <v>457</v>
      </c>
      <c r="D12" s="26" t="s">
        <v>458</v>
      </c>
      <c r="E12" s="29">
        <v>1</v>
      </c>
      <c r="F12" s="21" t="s">
        <v>60</v>
      </c>
      <c r="G12" s="26" t="s">
        <v>459</v>
      </c>
      <c r="H12" s="26" t="s">
        <v>23</v>
      </c>
    </row>
    <row r="13" spans="1:8" ht="30" customHeight="1" x14ac:dyDescent="0.2">
      <c r="A13" s="17" t="s">
        <v>438</v>
      </c>
      <c r="B13" s="17" t="s">
        <v>439</v>
      </c>
      <c r="C13" s="18" t="s">
        <v>460</v>
      </c>
      <c r="D13" s="19" t="s">
        <v>461</v>
      </c>
      <c r="E13" s="29">
        <v>1</v>
      </c>
      <c r="F13" s="21" t="s">
        <v>60</v>
      </c>
      <c r="G13" s="26" t="s">
        <v>459</v>
      </c>
      <c r="H13" s="26" t="s">
        <v>23</v>
      </c>
    </row>
    <row r="14" spans="1:8" ht="30" customHeight="1" x14ac:dyDescent="0.2">
      <c r="A14" s="24" t="s">
        <v>438</v>
      </c>
      <c r="B14" s="24" t="s">
        <v>439</v>
      </c>
      <c r="C14" s="25" t="s">
        <v>462</v>
      </c>
      <c r="D14" s="26" t="s">
        <v>463</v>
      </c>
      <c r="E14" s="29">
        <v>1</v>
      </c>
      <c r="F14" s="21" t="s">
        <v>45</v>
      </c>
      <c r="G14" s="26" t="s">
        <v>464</v>
      </c>
      <c r="H14" s="26" t="s">
        <v>443</v>
      </c>
    </row>
    <row r="15" spans="1:8" ht="30" customHeight="1" x14ac:dyDescent="0.2">
      <c r="A15" s="17" t="s">
        <v>438</v>
      </c>
      <c r="B15" s="17" t="s">
        <v>439</v>
      </c>
      <c r="C15" s="18" t="s">
        <v>465</v>
      </c>
      <c r="D15" s="19" t="s">
        <v>466</v>
      </c>
      <c r="E15" s="20">
        <v>2</v>
      </c>
      <c r="F15" s="21" t="s">
        <v>45</v>
      </c>
      <c r="G15" s="19" t="s">
        <v>467</v>
      </c>
      <c r="H15" s="19" t="s">
        <v>443</v>
      </c>
    </row>
    <row r="16" spans="1:8" ht="30" customHeight="1" x14ac:dyDescent="0.2">
      <c r="A16" s="24" t="s">
        <v>438</v>
      </c>
      <c r="B16" s="24" t="s">
        <v>439</v>
      </c>
      <c r="C16" s="25" t="s">
        <v>468</v>
      </c>
      <c r="D16" s="26" t="s">
        <v>469</v>
      </c>
      <c r="E16" s="20">
        <v>2</v>
      </c>
      <c r="F16" s="21" t="s">
        <v>45</v>
      </c>
      <c r="G16" s="26" t="s">
        <v>470</v>
      </c>
      <c r="H16" s="26"/>
    </row>
    <row r="17" spans="1:8" ht="30" customHeight="1" x14ac:dyDescent="0.2">
      <c r="A17" s="17" t="s">
        <v>438</v>
      </c>
      <c r="B17" s="17" t="s">
        <v>439</v>
      </c>
      <c r="C17" s="18" t="s">
        <v>471</v>
      </c>
      <c r="D17" s="19" t="s">
        <v>472</v>
      </c>
      <c r="E17" s="20">
        <v>2</v>
      </c>
      <c r="F17" s="21" t="s">
        <v>181</v>
      </c>
      <c r="G17" s="19" t="s">
        <v>473</v>
      </c>
      <c r="H17" s="19"/>
    </row>
    <row r="18" spans="1:8" ht="30" customHeight="1" x14ac:dyDescent="0.2">
      <c r="A18" s="24" t="s">
        <v>438</v>
      </c>
      <c r="B18" s="24" t="s">
        <v>439</v>
      </c>
      <c r="C18" s="25" t="s">
        <v>474</v>
      </c>
      <c r="D18" s="26" t="s">
        <v>475</v>
      </c>
      <c r="E18" s="20">
        <v>2</v>
      </c>
      <c r="F18" s="21" t="s">
        <v>181</v>
      </c>
      <c r="G18" s="26" t="s">
        <v>476</v>
      </c>
      <c r="H18" s="26"/>
    </row>
    <row r="19" spans="1:8" ht="18" customHeight="1" x14ac:dyDescent="0.2">
      <c r="A19" s="16" t="s">
        <v>477</v>
      </c>
      <c r="B19" s="16" t="s">
        <v>478</v>
      </c>
      <c r="C19" s="16"/>
      <c r="D19" s="16"/>
      <c r="E19" s="16"/>
      <c r="F19" s="16"/>
      <c r="G19" s="16"/>
      <c r="H19" s="16"/>
    </row>
    <row r="20" spans="1:8" ht="30" customHeight="1" x14ac:dyDescent="0.2">
      <c r="A20" s="17" t="s">
        <v>477</v>
      </c>
      <c r="B20" s="17" t="s">
        <v>478</v>
      </c>
      <c r="C20" s="18" t="s">
        <v>479</v>
      </c>
      <c r="D20" s="19" t="s">
        <v>480</v>
      </c>
      <c r="E20" s="29">
        <v>1</v>
      </c>
      <c r="F20" s="21" t="s">
        <v>181</v>
      </c>
      <c r="G20" s="19" t="s">
        <v>481</v>
      </c>
      <c r="H20" s="34" t="s">
        <v>482</v>
      </c>
    </row>
    <row r="21" spans="1:8" ht="30" customHeight="1" x14ac:dyDescent="0.2">
      <c r="A21" s="24" t="s">
        <v>477</v>
      </c>
      <c r="B21" s="24" t="s">
        <v>478</v>
      </c>
      <c r="C21" s="25" t="s">
        <v>483</v>
      </c>
      <c r="D21" s="26" t="s">
        <v>484</v>
      </c>
      <c r="E21" s="29">
        <v>1</v>
      </c>
      <c r="F21" s="21" t="s">
        <v>181</v>
      </c>
      <c r="G21" s="26" t="s">
        <v>485</v>
      </c>
      <c r="H21" s="26" t="s">
        <v>486</v>
      </c>
    </row>
    <row r="22" spans="1:8" ht="30" customHeight="1" x14ac:dyDescent="0.2">
      <c r="A22" s="17" t="s">
        <v>477</v>
      </c>
      <c r="B22" s="17" t="s">
        <v>478</v>
      </c>
      <c r="C22" s="18" t="s">
        <v>487</v>
      </c>
      <c r="D22" s="19" t="s">
        <v>488</v>
      </c>
      <c r="E22" s="20">
        <v>2</v>
      </c>
      <c r="F22" s="21" t="s">
        <v>181</v>
      </c>
      <c r="G22" s="19" t="s">
        <v>489</v>
      </c>
      <c r="H22" s="19"/>
    </row>
    <row r="23" spans="1:8" ht="30" customHeight="1" x14ac:dyDescent="0.2">
      <c r="A23" s="24" t="s">
        <v>477</v>
      </c>
      <c r="B23" s="24" t="s">
        <v>478</v>
      </c>
      <c r="C23" s="25" t="s">
        <v>490</v>
      </c>
      <c r="D23" s="26" t="s">
        <v>491</v>
      </c>
      <c r="E23" s="20">
        <v>2</v>
      </c>
      <c r="F23" s="21" t="s">
        <v>45</v>
      </c>
      <c r="G23" s="26" t="s">
        <v>492</v>
      </c>
      <c r="H23" s="26" t="s">
        <v>493</v>
      </c>
    </row>
    <row r="24" spans="1:8" ht="30" customHeight="1" x14ac:dyDescent="0.2">
      <c r="A24" s="17" t="s">
        <v>477</v>
      </c>
      <c r="B24" s="17" t="s">
        <v>478</v>
      </c>
      <c r="C24" s="18" t="s">
        <v>494</v>
      </c>
      <c r="D24" s="19" t="s">
        <v>495</v>
      </c>
      <c r="E24" s="30">
        <v>3</v>
      </c>
      <c r="F24" s="21" t="s">
        <v>181</v>
      </c>
      <c r="G24" s="19" t="s">
        <v>496</v>
      </c>
      <c r="H24" s="19"/>
    </row>
    <row r="25" spans="1:8" ht="30" customHeight="1" x14ac:dyDescent="0.2">
      <c r="A25" s="24" t="s">
        <v>477</v>
      </c>
      <c r="B25" s="24" t="s">
        <v>478</v>
      </c>
      <c r="C25" s="25" t="s">
        <v>497</v>
      </c>
      <c r="D25" s="26" t="s">
        <v>498</v>
      </c>
      <c r="E25" s="30">
        <v>3</v>
      </c>
      <c r="F25" s="21" t="s">
        <v>45</v>
      </c>
      <c r="G25" s="26" t="s">
        <v>499</v>
      </c>
      <c r="H25" s="26" t="s">
        <v>443</v>
      </c>
    </row>
    <row r="26" spans="1:8" ht="30" customHeight="1" x14ac:dyDescent="0.2">
      <c r="A26" s="17" t="s">
        <v>477</v>
      </c>
      <c r="B26" s="17" t="s">
        <v>478</v>
      </c>
      <c r="C26" s="18" t="s">
        <v>500</v>
      </c>
      <c r="D26" s="19" t="s">
        <v>501</v>
      </c>
      <c r="E26" s="30">
        <v>3</v>
      </c>
      <c r="F26" s="21" t="s">
        <v>181</v>
      </c>
      <c r="G26" s="19" t="s">
        <v>502</v>
      </c>
      <c r="H26" s="19"/>
    </row>
    <row r="27" spans="1:8" ht="30" customHeight="1" x14ac:dyDescent="0.2">
      <c r="A27" s="24" t="s">
        <v>477</v>
      </c>
      <c r="B27" s="24" t="s">
        <v>478</v>
      </c>
      <c r="C27" s="25" t="s">
        <v>503</v>
      </c>
      <c r="D27" s="26" t="s">
        <v>504</v>
      </c>
      <c r="E27" s="30">
        <v>3</v>
      </c>
      <c r="F27" s="21" t="s">
        <v>181</v>
      </c>
      <c r="G27" s="26" t="s">
        <v>505</v>
      </c>
      <c r="H27" s="26" t="s">
        <v>443</v>
      </c>
    </row>
    <row r="28" spans="1:8" ht="18" customHeight="1" x14ac:dyDescent="0.2">
      <c r="A28" s="16" t="s">
        <v>506</v>
      </c>
      <c r="B28" s="16" t="s">
        <v>507</v>
      </c>
      <c r="C28" s="16"/>
      <c r="D28" s="16"/>
      <c r="E28" s="16"/>
      <c r="F28" s="16"/>
      <c r="G28" s="16"/>
      <c r="H28" s="16"/>
    </row>
    <row r="29" spans="1:8" ht="30" customHeight="1" x14ac:dyDescent="0.2">
      <c r="A29" s="17" t="s">
        <v>506</v>
      </c>
      <c r="B29" s="17" t="s">
        <v>507</v>
      </c>
      <c r="C29" s="18" t="s">
        <v>508</v>
      </c>
      <c r="D29" s="19" t="s">
        <v>509</v>
      </c>
      <c r="E29" s="29">
        <v>1</v>
      </c>
      <c r="F29" s="21" t="s">
        <v>181</v>
      </c>
      <c r="G29" s="19" t="s">
        <v>510</v>
      </c>
      <c r="H29" s="19" t="s">
        <v>486</v>
      </c>
    </row>
    <row r="30" spans="1:8" ht="30" customHeight="1" x14ac:dyDescent="0.2">
      <c r="A30" s="24" t="s">
        <v>506</v>
      </c>
      <c r="B30" s="24" t="s">
        <v>507</v>
      </c>
      <c r="C30" s="25" t="s">
        <v>511</v>
      </c>
      <c r="D30" s="26" t="s">
        <v>512</v>
      </c>
      <c r="E30" s="29">
        <v>1</v>
      </c>
      <c r="F30" s="21" t="s">
        <v>45</v>
      </c>
      <c r="G30" s="26" t="s">
        <v>513</v>
      </c>
      <c r="H30" s="26"/>
    </row>
    <row r="31" spans="1:8" ht="30" customHeight="1" x14ac:dyDescent="0.2">
      <c r="A31" s="17" t="s">
        <v>506</v>
      </c>
      <c r="B31" s="17" t="s">
        <v>507</v>
      </c>
      <c r="C31" s="18" t="s">
        <v>514</v>
      </c>
      <c r="D31" s="19" t="s">
        <v>515</v>
      </c>
      <c r="E31" s="20">
        <v>2</v>
      </c>
      <c r="F31" s="21" t="s">
        <v>181</v>
      </c>
      <c r="G31" s="35" t="s">
        <v>516</v>
      </c>
      <c r="H31" s="19" t="s">
        <v>447</v>
      </c>
    </row>
    <row r="32" spans="1:8" ht="30" customHeight="1" x14ac:dyDescent="0.2">
      <c r="A32" s="24" t="s">
        <v>506</v>
      </c>
      <c r="B32" s="24" t="s">
        <v>507</v>
      </c>
      <c r="C32" s="25" t="s">
        <v>517</v>
      </c>
      <c r="D32" s="26" t="s">
        <v>518</v>
      </c>
      <c r="E32" s="20">
        <v>2</v>
      </c>
      <c r="F32" s="21" t="s">
        <v>60</v>
      </c>
      <c r="G32" s="26" t="s">
        <v>519</v>
      </c>
      <c r="H32" s="26" t="s">
        <v>23</v>
      </c>
    </row>
    <row r="33" spans="1:8" ht="30" customHeight="1" x14ac:dyDescent="0.2">
      <c r="A33" s="17" t="s">
        <v>506</v>
      </c>
      <c r="B33" s="17" t="s">
        <v>507</v>
      </c>
      <c r="C33" s="18" t="s">
        <v>520</v>
      </c>
      <c r="D33" s="19" t="s">
        <v>521</v>
      </c>
      <c r="E33" s="30">
        <v>3</v>
      </c>
      <c r="F33" s="21" t="s">
        <v>60</v>
      </c>
      <c r="G33" s="31" t="s">
        <v>522</v>
      </c>
      <c r="H33" s="26" t="s">
        <v>23</v>
      </c>
    </row>
    <row r="34" spans="1:8" ht="30" customHeight="1" x14ac:dyDescent="0.2">
      <c r="A34" s="24" t="s">
        <v>506</v>
      </c>
      <c r="B34" s="24" t="s">
        <v>507</v>
      </c>
      <c r="C34" s="25" t="s">
        <v>523</v>
      </c>
      <c r="D34" s="26" t="s">
        <v>524</v>
      </c>
      <c r="E34" s="30">
        <v>3</v>
      </c>
      <c r="F34" s="21" t="s">
        <v>181</v>
      </c>
      <c r="G34" s="26" t="s">
        <v>525</v>
      </c>
      <c r="H34" s="26"/>
    </row>
    <row r="35" spans="1:8" ht="18" customHeight="1" x14ac:dyDescent="0.2">
      <c r="A35" s="16" t="s">
        <v>526</v>
      </c>
      <c r="B35" s="16" t="s">
        <v>527</v>
      </c>
      <c r="C35" s="16"/>
      <c r="D35" s="16"/>
      <c r="E35" s="16"/>
      <c r="F35" s="16"/>
      <c r="G35" s="16"/>
      <c r="H35" s="16"/>
    </row>
    <row r="36" spans="1:8" ht="30" customHeight="1" x14ac:dyDescent="0.2">
      <c r="A36" s="17" t="s">
        <v>526</v>
      </c>
      <c r="B36" s="17" t="s">
        <v>527</v>
      </c>
      <c r="C36" s="18" t="s">
        <v>528</v>
      </c>
      <c r="D36" s="19" t="s">
        <v>529</v>
      </c>
      <c r="E36" s="20">
        <v>2</v>
      </c>
      <c r="F36" s="21" t="s">
        <v>60</v>
      </c>
      <c r="G36" s="19" t="s">
        <v>530</v>
      </c>
      <c r="H36" s="26" t="s">
        <v>23</v>
      </c>
    </row>
    <row r="37" spans="1:8" ht="30" customHeight="1" x14ac:dyDescent="0.2">
      <c r="A37" s="24" t="s">
        <v>526</v>
      </c>
      <c r="B37" s="24" t="s">
        <v>527</v>
      </c>
      <c r="C37" s="25" t="s">
        <v>531</v>
      </c>
      <c r="D37" s="26" t="s">
        <v>532</v>
      </c>
      <c r="E37" s="20">
        <v>2</v>
      </c>
      <c r="F37" s="21" t="s">
        <v>60</v>
      </c>
      <c r="G37" s="26" t="s">
        <v>533</v>
      </c>
      <c r="H37" s="26" t="s">
        <v>23</v>
      </c>
    </row>
    <row r="38" spans="1:8" ht="30" customHeight="1" x14ac:dyDescent="0.2">
      <c r="A38" s="17" t="s">
        <v>526</v>
      </c>
      <c r="B38" s="17" t="s">
        <v>527</v>
      </c>
      <c r="C38" s="18" t="s">
        <v>534</v>
      </c>
      <c r="D38" s="19" t="s">
        <v>535</v>
      </c>
      <c r="E38" s="20">
        <v>2</v>
      </c>
      <c r="F38" s="21" t="s">
        <v>60</v>
      </c>
      <c r="G38" s="19" t="s">
        <v>536</v>
      </c>
      <c r="H38" s="26" t="s">
        <v>23</v>
      </c>
    </row>
    <row r="39" spans="1:8" ht="30" customHeight="1" x14ac:dyDescent="0.2">
      <c r="A39" s="24" t="s">
        <v>526</v>
      </c>
      <c r="B39" s="24" t="s">
        <v>527</v>
      </c>
      <c r="C39" s="25" t="s">
        <v>537</v>
      </c>
      <c r="D39" s="26" t="s">
        <v>538</v>
      </c>
      <c r="E39" s="20">
        <v>2</v>
      </c>
      <c r="F39" s="21" t="s">
        <v>60</v>
      </c>
      <c r="G39" s="26" t="s">
        <v>539</v>
      </c>
      <c r="H39" s="26" t="s">
        <v>23</v>
      </c>
    </row>
    <row r="40" spans="1:8" ht="30" customHeight="1" x14ac:dyDescent="0.2">
      <c r="A40" s="17" t="s">
        <v>526</v>
      </c>
      <c r="B40" s="17" t="s">
        <v>527</v>
      </c>
      <c r="C40" s="18" t="s">
        <v>540</v>
      </c>
      <c r="D40" s="19" t="s">
        <v>541</v>
      </c>
      <c r="E40" s="20">
        <v>2</v>
      </c>
      <c r="F40" s="21" t="s">
        <v>60</v>
      </c>
      <c r="G40" s="19" t="s">
        <v>542</v>
      </c>
      <c r="H40" s="26" t="s">
        <v>23</v>
      </c>
    </row>
    <row r="41" spans="1:8" ht="30" customHeight="1" x14ac:dyDescent="0.2">
      <c r="A41" s="24" t="s">
        <v>526</v>
      </c>
      <c r="B41" s="24" t="s">
        <v>527</v>
      </c>
      <c r="C41" s="25" t="s">
        <v>543</v>
      </c>
      <c r="D41" s="26" t="s">
        <v>544</v>
      </c>
      <c r="E41" s="30">
        <v>3</v>
      </c>
      <c r="F41" s="21" t="s">
        <v>60</v>
      </c>
      <c r="G41" s="26" t="s">
        <v>545</v>
      </c>
      <c r="H41" s="26" t="s">
        <v>23</v>
      </c>
    </row>
    <row r="42" spans="1:8" ht="30" customHeight="1" x14ac:dyDescent="0.2">
      <c r="A42" s="17" t="s">
        <v>526</v>
      </c>
      <c r="B42" s="17" t="s">
        <v>527</v>
      </c>
      <c r="C42" s="18" t="s">
        <v>546</v>
      </c>
      <c r="D42" s="19" t="s">
        <v>547</v>
      </c>
      <c r="E42" s="30">
        <v>3</v>
      </c>
      <c r="F42" s="21" t="s">
        <v>60</v>
      </c>
      <c r="G42" s="19" t="s">
        <v>548</v>
      </c>
      <c r="H42" s="26" t="s">
        <v>23</v>
      </c>
    </row>
    <row r="43" spans="1:8" ht="30" customHeight="1" x14ac:dyDescent="0.2">
      <c r="A43" s="24" t="s">
        <v>526</v>
      </c>
      <c r="B43" s="24" t="s">
        <v>527</v>
      </c>
      <c r="C43" s="25" t="s">
        <v>549</v>
      </c>
      <c r="D43" s="26" t="s">
        <v>550</v>
      </c>
      <c r="E43" s="30">
        <v>3</v>
      </c>
      <c r="F43" s="21" t="s">
        <v>60</v>
      </c>
      <c r="G43" s="26" t="s">
        <v>551</v>
      </c>
      <c r="H43" s="26" t="s">
        <v>23</v>
      </c>
    </row>
    <row r="44" spans="1:8" ht="18" customHeight="1" x14ac:dyDescent="0.2">
      <c r="A44" s="16" t="s">
        <v>552</v>
      </c>
      <c r="B44" s="16" t="s">
        <v>553</v>
      </c>
      <c r="C44" s="16"/>
      <c r="D44" s="16"/>
      <c r="E44" s="16"/>
      <c r="F44" s="16"/>
      <c r="G44" s="16"/>
      <c r="H44" s="16"/>
    </row>
    <row r="45" spans="1:8" ht="30" customHeight="1" x14ac:dyDescent="0.2">
      <c r="A45" s="17" t="s">
        <v>552</v>
      </c>
      <c r="B45" s="17" t="s">
        <v>553</v>
      </c>
      <c r="C45" s="18" t="s">
        <v>554</v>
      </c>
      <c r="D45" s="19" t="s">
        <v>555</v>
      </c>
      <c r="E45" s="20">
        <v>2</v>
      </c>
      <c r="F45" s="21" t="s">
        <v>60</v>
      </c>
      <c r="G45" s="19" t="s">
        <v>556</v>
      </c>
      <c r="H45" s="26" t="s">
        <v>23</v>
      </c>
    </row>
    <row r="46" spans="1:8" ht="30" customHeight="1" x14ac:dyDescent="0.2">
      <c r="A46" s="24" t="s">
        <v>552</v>
      </c>
      <c r="B46" s="24" t="s">
        <v>553</v>
      </c>
      <c r="C46" s="25" t="s">
        <v>557</v>
      </c>
      <c r="D46" s="26" t="s">
        <v>558</v>
      </c>
      <c r="E46" s="20">
        <v>2</v>
      </c>
      <c r="F46" s="21" t="s">
        <v>60</v>
      </c>
      <c r="G46" s="26" t="s">
        <v>559</v>
      </c>
      <c r="H46" s="26" t="s">
        <v>23</v>
      </c>
    </row>
    <row r="47" spans="1:8" ht="30" customHeight="1" x14ac:dyDescent="0.2">
      <c r="A47" s="17" t="s">
        <v>552</v>
      </c>
      <c r="B47" s="17" t="s">
        <v>553</v>
      </c>
      <c r="C47" s="18" t="s">
        <v>560</v>
      </c>
      <c r="D47" s="19" t="s">
        <v>561</v>
      </c>
      <c r="E47" s="20">
        <v>2</v>
      </c>
      <c r="F47" s="21" t="s">
        <v>60</v>
      </c>
      <c r="G47" s="19" t="s">
        <v>559</v>
      </c>
      <c r="H47" s="26" t="s">
        <v>23</v>
      </c>
    </row>
    <row r="48" spans="1:8" ht="30" customHeight="1" x14ac:dyDescent="0.2">
      <c r="A48" s="24" t="s">
        <v>552</v>
      </c>
      <c r="B48" s="24" t="s">
        <v>553</v>
      </c>
      <c r="C48" s="25" t="s">
        <v>562</v>
      </c>
      <c r="D48" s="26" t="s">
        <v>563</v>
      </c>
      <c r="E48" s="30">
        <v>3</v>
      </c>
      <c r="F48" s="21" t="s">
        <v>60</v>
      </c>
      <c r="G48" s="26" t="s">
        <v>564</v>
      </c>
      <c r="H48" s="26" t="s">
        <v>23</v>
      </c>
    </row>
    <row r="49" spans="1:8" ht="18" customHeight="1" x14ac:dyDescent="0.2">
      <c r="A49" s="16" t="s">
        <v>565</v>
      </c>
      <c r="B49" s="16" t="s">
        <v>566</v>
      </c>
      <c r="C49" s="16"/>
      <c r="D49" s="16"/>
      <c r="E49" s="16"/>
      <c r="F49" s="16"/>
      <c r="G49" s="16"/>
      <c r="H49" s="16"/>
    </row>
    <row r="50" spans="1:8" ht="30" customHeight="1" x14ac:dyDescent="0.2">
      <c r="A50" s="17" t="s">
        <v>565</v>
      </c>
      <c r="B50" s="17" t="s">
        <v>566</v>
      </c>
      <c r="C50" s="18" t="s">
        <v>567</v>
      </c>
      <c r="D50" s="19" t="s">
        <v>568</v>
      </c>
      <c r="E50" s="30">
        <v>3</v>
      </c>
      <c r="F50" s="21" t="s">
        <v>60</v>
      </c>
      <c r="G50" s="19" t="s">
        <v>569</v>
      </c>
      <c r="H50" s="26" t="s">
        <v>23</v>
      </c>
    </row>
    <row r="51" spans="1:8" ht="30" customHeight="1" x14ac:dyDescent="0.2">
      <c r="A51" s="24" t="s">
        <v>565</v>
      </c>
      <c r="B51" s="24" t="s">
        <v>566</v>
      </c>
      <c r="C51" s="25" t="s">
        <v>570</v>
      </c>
      <c r="D51" s="26" t="s">
        <v>571</v>
      </c>
      <c r="E51" s="30">
        <v>3</v>
      </c>
      <c r="F51" s="21" t="s">
        <v>60</v>
      </c>
      <c r="G51" s="26" t="s">
        <v>572</v>
      </c>
      <c r="H51" s="26" t="s">
        <v>23</v>
      </c>
    </row>
    <row r="52" spans="1:8" ht="18" customHeight="1" x14ac:dyDescent="0.2">
      <c r="A52" s="16" t="s">
        <v>573</v>
      </c>
      <c r="B52" s="16" t="s">
        <v>574</v>
      </c>
      <c r="C52" s="16"/>
      <c r="D52" s="16"/>
      <c r="E52" s="16"/>
      <c r="F52" s="16"/>
      <c r="G52" s="16"/>
      <c r="H52" s="16"/>
    </row>
    <row r="53" spans="1:8" ht="30" customHeight="1" x14ac:dyDescent="0.2">
      <c r="A53" s="17" t="s">
        <v>573</v>
      </c>
      <c r="B53" s="17" t="s">
        <v>574</v>
      </c>
      <c r="C53" s="18" t="s">
        <v>575</v>
      </c>
      <c r="D53" s="19" t="s">
        <v>576</v>
      </c>
      <c r="E53" s="20">
        <v>2</v>
      </c>
      <c r="F53" s="21" t="s">
        <v>45</v>
      </c>
      <c r="G53" s="19" t="s">
        <v>577</v>
      </c>
      <c r="H53" s="19"/>
    </row>
    <row r="54" spans="1:8" ht="30" customHeight="1" x14ac:dyDescent="0.2">
      <c r="A54" s="24" t="s">
        <v>573</v>
      </c>
      <c r="B54" s="24" t="s">
        <v>574</v>
      </c>
      <c r="C54" s="25" t="s">
        <v>578</v>
      </c>
      <c r="D54" s="26" t="s">
        <v>579</v>
      </c>
      <c r="E54" s="20">
        <v>2</v>
      </c>
      <c r="F54" s="21" t="s">
        <v>45</v>
      </c>
      <c r="G54" s="26" t="s">
        <v>580</v>
      </c>
      <c r="H54" s="31" t="s">
        <v>581</v>
      </c>
    </row>
    <row r="55" spans="1:8" ht="30" customHeight="1" x14ac:dyDescent="0.2">
      <c r="A55" s="17" t="s">
        <v>573</v>
      </c>
      <c r="B55" s="17" t="s">
        <v>574</v>
      </c>
      <c r="C55" s="18" t="s">
        <v>582</v>
      </c>
      <c r="D55" s="19" t="s">
        <v>583</v>
      </c>
      <c r="E55" s="20">
        <v>2</v>
      </c>
      <c r="F55" s="21" t="s">
        <v>60</v>
      </c>
      <c r="G55" s="19" t="s">
        <v>584</v>
      </c>
      <c r="H55" s="26" t="s">
        <v>23</v>
      </c>
    </row>
    <row r="56" spans="1:8" ht="30" customHeight="1" x14ac:dyDescent="0.2">
      <c r="A56" s="24" t="s">
        <v>573</v>
      </c>
      <c r="B56" s="24" t="s">
        <v>574</v>
      </c>
      <c r="C56" s="25" t="s">
        <v>585</v>
      </c>
      <c r="D56" s="26" t="s">
        <v>586</v>
      </c>
      <c r="E56" s="20">
        <v>2</v>
      </c>
      <c r="F56" s="21" t="s">
        <v>60</v>
      </c>
      <c r="G56" s="26" t="s">
        <v>587</v>
      </c>
      <c r="H56" s="26" t="s">
        <v>23</v>
      </c>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tabSelected="1" zoomScale="125" zoomScaleNormal="73" workbookViewId="0">
      <pane ySplit="1" topLeftCell="A16" activePane="bottomLeft" state="frozen"/>
      <selection pane="bottomLeft" activeCell="H27" sqref="H27"/>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
      <c r="A1" s="15" t="s">
        <v>33</v>
      </c>
      <c r="B1" s="15" t="s">
        <v>34</v>
      </c>
      <c r="C1" s="15" t="s">
        <v>35</v>
      </c>
      <c r="D1" s="15" t="s">
        <v>36</v>
      </c>
      <c r="E1" s="15" t="s">
        <v>37</v>
      </c>
      <c r="F1" s="15" t="s">
        <v>38</v>
      </c>
      <c r="G1" s="15" t="s">
        <v>39</v>
      </c>
      <c r="H1" s="15" t="s">
        <v>40</v>
      </c>
    </row>
    <row r="2" spans="1:8" x14ac:dyDescent="0.2">
      <c r="A2" s="16" t="s">
        <v>588</v>
      </c>
      <c r="B2" s="16" t="s">
        <v>589</v>
      </c>
      <c r="C2" s="16"/>
      <c r="D2" s="16"/>
      <c r="E2" s="16"/>
      <c r="F2" s="16"/>
      <c r="G2" s="16"/>
      <c r="H2" s="16"/>
    </row>
    <row r="3" spans="1:8" ht="80" x14ac:dyDescent="0.2">
      <c r="A3" s="17" t="s">
        <v>588</v>
      </c>
      <c r="B3" s="17" t="s">
        <v>589</v>
      </c>
      <c r="C3" s="18" t="s">
        <v>590</v>
      </c>
      <c r="D3" s="19" t="s">
        <v>591</v>
      </c>
      <c r="E3" s="20">
        <v>2</v>
      </c>
      <c r="F3" s="21" t="s">
        <v>45</v>
      </c>
      <c r="G3" s="19" t="s">
        <v>1095</v>
      </c>
      <c r="H3" s="19" t="s">
        <v>1096</v>
      </c>
    </row>
    <row r="4" spans="1:8" ht="48" x14ac:dyDescent="0.2">
      <c r="A4" s="24" t="s">
        <v>588</v>
      </c>
      <c r="B4" s="24" t="s">
        <v>589</v>
      </c>
      <c r="C4" s="25" t="s">
        <v>592</v>
      </c>
      <c r="D4" s="26" t="s">
        <v>593</v>
      </c>
      <c r="E4" s="20">
        <v>2</v>
      </c>
      <c r="F4" s="21" t="s">
        <v>60</v>
      </c>
      <c r="G4" s="26" t="s">
        <v>1097</v>
      </c>
      <c r="H4" s="26"/>
    </row>
    <row r="5" spans="1:8" ht="64" x14ac:dyDescent="0.2">
      <c r="A5" s="17" t="s">
        <v>588</v>
      </c>
      <c r="B5" s="17" t="s">
        <v>589</v>
      </c>
      <c r="C5" s="18" t="s">
        <v>594</v>
      </c>
      <c r="D5" s="19" t="s">
        <v>595</v>
      </c>
      <c r="E5" s="20">
        <v>2</v>
      </c>
      <c r="F5" s="21" t="s">
        <v>60</v>
      </c>
      <c r="G5" s="19" t="s">
        <v>1098</v>
      </c>
      <c r="H5" s="19"/>
    </row>
    <row r="6" spans="1:8" x14ac:dyDescent="0.2">
      <c r="A6" s="16" t="s">
        <v>596</v>
      </c>
      <c r="B6" s="16" t="s">
        <v>597</v>
      </c>
      <c r="C6" s="16"/>
      <c r="D6" s="16"/>
      <c r="E6" s="16"/>
      <c r="F6" s="16"/>
      <c r="G6" s="16"/>
      <c r="H6" s="16"/>
    </row>
    <row r="7" spans="1:8" ht="32" x14ac:dyDescent="0.2">
      <c r="A7" s="17" t="s">
        <v>596</v>
      </c>
      <c r="B7" s="17" t="s">
        <v>597</v>
      </c>
      <c r="C7" s="18" t="s">
        <v>598</v>
      </c>
      <c r="D7" s="19" t="s">
        <v>599</v>
      </c>
      <c r="E7" s="29">
        <v>1</v>
      </c>
      <c r="F7" s="21" t="s">
        <v>45</v>
      </c>
      <c r="G7" s="19" t="s">
        <v>1099</v>
      </c>
      <c r="H7" s="19" t="s">
        <v>1083</v>
      </c>
    </row>
    <row r="8" spans="1:8" ht="48" x14ac:dyDescent="0.2">
      <c r="A8" s="24" t="s">
        <v>596</v>
      </c>
      <c r="B8" s="24" t="s">
        <v>597</v>
      </c>
      <c r="C8" s="25" t="s">
        <v>600</v>
      </c>
      <c r="D8" s="26" t="s">
        <v>601</v>
      </c>
      <c r="E8" s="29">
        <v>1</v>
      </c>
      <c r="F8" s="21" t="s">
        <v>45</v>
      </c>
      <c r="G8" s="26" t="s">
        <v>1100</v>
      </c>
      <c r="H8" s="26"/>
    </row>
    <row r="9" spans="1:8" ht="48" x14ac:dyDescent="0.2">
      <c r="A9" s="17" t="s">
        <v>596</v>
      </c>
      <c r="B9" s="17" t="s">
        <v>597</v>
      </c>
      <c r="C9" s="18" t="s">
        <v>602</v>
      </c>
      <c r="D9" s="19" t="s">
        <v>603</v>
      </c>
      <c r="E9" s="29">
        <v>1</v>
      </c>
      <c r="F9" s="21" t="s">
        <v>60</v>
      </c>
      <c r="G9" s="19" t="s">
        <v>1101</v>
      </c>
      <c r="H9" s="19"/>
    </row>
    <row r="10" spans="1:8" ht="48" x14ac:dyDescent="0.2">
      <c r="A10" s="24" t="s">
        <v>596</v>
      </c>
      <c r="B10" s="24" t="s">
        <v>597</v>
      </c>
      <c r="C10" s="25" t="s">
        <v>604</v>
      </c>
      <c r="D10" s="26" t="s">
        <v>605</v>
      </c>
      <c r="E10" s="29">
        <v>1</v>
      </c>
      <c r="F10" s="21" t="s">
        <v>45</v>
      </c>
      <c r="G10" s="26" t="s">
        <v>1102</v>
      </c>
      <c r="H10" s="26" t="s">
        <v>1103</v>
      </c>
    </row>
    <row r="11" spans="1:8" x14ac:dyDescent="0.2">
      <c r="A11" s="16" t="s">
        <v>606</v>
      </c>
      <c r="B11" s="16" t="s">
        <v>607</v>
      </c>
      <c r="C11" s="16"/>
      <c r="D11" s="16"/>
      <c r="E11" s="16"/>
      <c r="F11" s="16"/>
      <c r="G11" s="16"/>
      <c r="H11" s="16"/>
    </row>
    <row r="12" spans="1:8" ht="32" x14ac:dyDescent="0.2">
      <c r="A12" s="17" t="s">
        <v>606</v>
      </c>
      <c r="B12" s="17" t="s">
        <v>607</v>
      </c>
      <c r="C12" s="18" t="s">
        <v>608</v>
      </c>
      <c r="D12" s="19" t="s">
        <v>609</v>
      </c>
      <c r="E12" s="20">
        <v>2</v>
      </c>
      <c r="F12" s="21" t="s">
        <v>45</v>
      </c>
      <c r="G12" s="19" t="s">
        <v>1104</v>
      </c>
      <c r="H12" s="19" t="s">
        <v>443</v>
      </c>
    </row>
    <row r="13" spans="1:8" ht="48" x14ac:dyDescent="0.2">
      <c r="A13" s="24" t="s">
        <v>606</v>
      </c>
      <c r="B13" s="24" t="s">
        <v>607</v>
      </c>
      <c r="C13" s="25" t="s">
        <v>610</v>
      </c>
      <c r="D13" s="26" t="s">
        <v>611</v>
      </c>
      <c r="E13" s="20">
        <v>2</v>
      </c>
      <c r="F13" s="21" t="s">
        <v>45</v>
      </c>
      <c r="G13" s="26" t="s">
        <v>1105</v>
      </c>
      <c r="H13" s="26" t="s">
        <v>1106</v>
      </c>
    </row>
    <row r="14" spans="1:8" x14ac:dyDescent="0.2">
      <c r="A14" s="16" t="s">
        <v>612</v>
      </c>
      <c r="B14" s="16" t="s">
        <v>613</v>
      </c>
      <c r="C14" s="16"/>
      <c r="D14" s="16"/>
      <c r="E14" s="16"/>
      <c r="F14" s="16"/>
      <c r="G14" s="16"/>
      <c r="H14" s="16"/>
    </row>
    <row r="15" spans="1:8" ht="112" x14ac:dyDescent="0.2">
      <c r="A15" s="17" t="s">
        <v>612</v>
      </c>
      <c r="B15" s="17" t="s">
        <v>613</v>
      </c>
      <c r="C15" s="18" t="s">
        <v>614</v>
      </c>
      <c r="D15" s="19" t="s">
        <v>615</v>
      </c>
      <c r="E15" s="29">
        <v>1</v>
      </c>
      <c r="F15" s="21" t="s">
        <v>181</v>
      </c>
      <c r="G15" s="19"/>
      <c r="H15" s="19"/>
    </row>
    <row r="16" spans="1:8" ht="32" x14ac:dyDescent="0.2">
      <c r="A16" s="24" t="s">
        <v>612</v>
      </c>
      <c r="B16" s="24" t="s">
        <v>613</v>
      </c>
      <c r="C16" s="25" t="s">
        <v>616</v>
      </c>
      <c r="D16" s="26" t="s">
        <v>617</v>
      </c>
      <c r="E16" s="29">
        <v>1</v>
      </c>
      <c r="F16" s="21" t="s">
        <v>181</v>
      </c>
      <c r="G16" s="26"/>
      <c r="H16" s="26"/>
    </row>
    <row r="17" spans="1:8" ht="64" x14ac:dyDescent="0.2">
      <c r="A17" s="17" t="s">
        <v>612</v>
      </c>
      <c r="B17" s="17" t="s">
        <v>613</v>
      </c>
      <c r="C17" s="18" t="s">
        <v>618</v>
      </c>
      <c r="D17" s="19" t="s">
        <v>619</v>
      </c>
      <c r="E17" s="20">
        <v>2</v>
      </c>
      <c r="F17" s="21" t="s">
        <v>181</v>
      </c>
      <c r="G17" s="19"/>
      <c r="H17" s="19"/>
    </row>
    <row r="18" spans="1:8" ht="32" x14ac:dyDescent="0.2">
      <c r="A18" s="24" t="s">
        <v>612</v>
      </c>
      <c r="B18" s="24" t="s">
        <v>613</v>
      </c>
      <c r="C18" s="25" t="s">
        <v>620</v>
      </c>
      <c r="D18" s="26" t="s">
        <v>621</v>
      </c>
      <c r="E18" s="20">
        <v>2</v>
      </c>
      <c r="F18" s="21" t="s">
        <v>60</v>
      </c>
      <c r="G18" s="26" t="s">
        <v>1107</v>
      </c>
      <c r="H18" s="26"/>
    </row>
    <row r="19" spans="1:8" ht="32" x14ac:dyDescent="0.2">
      <c r="A19" s="17" t="s">
        <v>612</v>
      </c>
      <c r="B19" s="17" t="s">
        <v>613</v>
      </c>
      <c r="C19" s="18" t="s">
        <v>622</v>
      </c>
      <c r="D19" s="19" t="s">
        <v>623</v>
      </c>
      <c r="E19" s="20">
        <v>2</v>
      </c>
      <c r="F19" s="21" t="s">
        <v>181</v>
      </c>
      <c r="G19" s="19"/>
      <c r="H19" s="19"/>
    </row>
    <row r="20" spans="1:8" x14ac:dyDescent="0.2">
      <c r="A20" s="16" t="s">
        <v>624</v>
      </c>
      <c r="B20" s="16" t="s">
        <v>625</v>
      </c>
      <c r="C20" s="16"/>
      <c r="D20" s="16"/>
      <c r="E20" s="16"/>
      <c r="F20" s="16"/>
      <c r="G20" s="16"/>
      <c r="H20" s="16"/>
    </row>
    <row r="21" spans="1:8" ht="64" x14ac:dyDescent="0.2">
      <c r="A21" s="17" t="s">
        <v>624</v>
      </c>
      <c r="B21" s="17" t="s">
        <v>625</v>
      </c>
      <c r="C21" s="18" t="s">
        <v>626</v>
      </c>
      <c r="D21" s="19" t="s">
        <v>627</v>
      </c>
      <c r="E21" s="20">
        <v>2</v>
      </c>
      <c r="F21" s="21" t="s">
        <v>181</v>
      </c>
      <c r="G21" s="19"/>
      <c r="H21" s="19"/>
    </row>
    <row r="22" spans="1:8" ht="32" x14ac:dyDescent="0.2">
      <c r="A22" s="24" t="s">
        <v>624</v>
      </c>
      <c r="B22" s="24" t="s">
        <v>625</v>
      </c>
      <c r="C22" s="25" t="s">
        <v>628</v>
      </c>
      <c r="D22" s="26" t="s">
        <v>629</v>
      </c>
      <c r="E22" s="20">
        <v>2</v>
      </c>
      <c r="F22" s="21" t="s">
        <v>181</v>
      </c>
      <c r="G22" s="26"/>
      <c r="H22" s="26"/>
    </row>
    <row r="23" spans="1:8" ht="48" x14ac:dyDescent="0.2">
      <c r="A23" s="17" t="s">
        <v>624</v>
      </c>
      <c r="B23" s="17" t="s">
        <v>625</v>
      </c>
      <c r="C23" s="18" t="s">
        <v>630</v>
      </c>
      <c r="D23" s="19" t="s">
        <v>631</v>
      </c>
      <c r="E23" s="30">
        <v>3</v>
      </c>
      <c r="F23" s="21" t="s">
        <v>181</v>
      </c>
      <c r="G23" s="19"/>
      <c r="H23" s="19"/>
    </row>
    <row r="24" spans="1:8" x14ac:dyDescent="0.2">
      <c r="A24" s="16" t="s">
        <v>632</v>
      </c>
      <c r="B24" s="16" t="s">
        <v>633</v>
      </c>
      <c r="C24" s="16"/>
      <c r="D24" s="16"/>
      <c r="E24" s="16"/>
      <c r="F24" s="16"/>
      <c r="G24" s="16"/>
      <c r="H24" s="16"/>
    </row>
    <row r="25" spans="1:8" ht="64" x14ac:dyDescent="0.2">
      <c r="A25" s="17" t="s">
        <v>632</v>
      </c>
      <c r="B25" s="17" t="s">
        <v>633</v>
      </c>
      <c r="C25" s="18" t="s">
        <v>634</v>
      </c>
      <c r="D25" s="19" t="s">
        <v>635</v>
      </c>
      <c r="E25" s="20">
        <v>2</v>
      </c>
      <c r="F25" s="21" t="s">
        <v>60</v>
      </c>
      <c r="G25" s="19"/>
      <c r="H25" s="19"/>
    </row>
    <row r="26" spans="1:8" ht="48" x14ac:dyDescent="0.2">
      <c r="A26" s="24" t="s">
        <v>632</v>
      </c>
      <c r="B26" s="24" t="s">
        <v>633</v>
      </c>
      <c r="C26" s="25" t="s">
        <v>636</v>
      </c>
      <c r="D26" s="26" t="s">
        <v>637</v>
      </c>
      <c r="E26" s="20">
        <v>2</v>
      </c>
      <c r="F26" s="21" t="s">
        <v>45</v>
      </c>
      <c r="G26" s="26" t="s">
        <v>1108</v>
      </c>
      <c r="H26" s="2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119" zoomScaleNormal="73" workbookViewId="0">
      <pane ySplit="1" topLeftCell="A11" activePane="bottomLeft" state="frozen"/>
      <selection pane="bottomLeft" activeCell="H17" sqref="H17"/>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
      <c r="A1" s="15" t="s">
        <v>33</v>
      </c>
      <c r="B1" s="15" t="s">
        <v>34</v>
      </c>
      <c r="C1" s="15" t="s">
        <v>35</v>
      </c>
      <c r="D1" s="15" t="s">
        <v>36</v>
      </c>
      <c r="E1" s="15" t="s">
        <v>37</v>
      </c>
      <c r="F1" s="15" t="s">
        <v>38</v>
      </c>
      <c r="G1" s="15" t="s">
        <v>39</v>
      </c>
      <c r="H1" s="15" t="s">
        <v>40</v>
      </c>
    </row>
    <row r="2" spans="1:8" x14ac:dyDescent="0.2">
      <c r="A2" s="16" t="s">
        <v>638</v>
      </c>
      <c r="B2" s="16" t="s">
        <v>639</v>
      </c>
      <c r="C2" s="16"/>
      <c r="D2" s="16"/>
      <c r="E2" s="16"/>
      <c r="F2" s="16"/>
      <c r="G2" s="16"/>
      <c r="H2" s="16"/>
    </row>
    <row r="3" spans="1:8" ht="48" x14ac:dyDescent="0.2">
      <c r="A3" s="17" t="s">
        <v>638</v>
      </c>
      <c r="B3" s="17" t="s">
        <v>639</v>
      </c>
      <c r="C3" s="18" t="s">
        <v>640</v>
      </c>
      <c r="D3" s="19" t="s">
        <v>641</v>
      </c>
      <c r="E3" s="29">
        <v>1</v>
      </c>
      <c r="F3" s="21" t="s">
        <v>45</v>
      </c>
      <c r="G3" s="19" t="s">
        <v>1074</v>
      </c>
      <c r="H3" s="19" t="s">
        <v>1075</v>
      </c>
    </row>
    <row r="4" spans="1:8" ht="64" x14ac:dyDescent="0.2">
      <c r="A4" s="24" t="s">
        <v>638</v>
      </c>
      <c r="B4" s="24" t="s">
        <v>639</v>
      </c>
      <c r="C4" s="25" t="s">
        <v>642</v>
      </c>
      <c r="D4" s="26" t="s">
        <v>643</v>
      </c>
      <c r="E4" s="20">
        <v>2</v>
      </c>
      <c r="F4" s="21" t="s">
        <v>45</v>
      </c>
      <c r="G4" s="19" t="s">
        <v>1077</v>
      </c>
      <c r="H4" s="19" t="s">
        <v>1076</v>
      </c>
    </row>
    <row r="5" spans="1:8" ht="80" x14ac:dyDescent="0.2">
      <c r="A5" s="17" t="s">
        <v>638</v>
      </c>
      <c r="B5" s="17" t="s">
        <v>639</v>
      </c>
      <c r="C5" s="18" t="s">
        <v>644</v>
      </c>
      <c r="D5" s="19" t="s">
        <v>645</v>
      </c>
      <c r="E5" s="30">
        <v>3</v>
      </c>
      <c r="F5" s="21" t="s">
        <v>60</v>
      </c>
      <c r="G5" s="19"/>
      <c r="H5" s="19"/>
    </row>
    <row r="6" spans="1:8" ht="80" x14ac:dyDescent="0.2">
      <c r="A6" s="24" t="s">
        <v>638</v>
      </c>
      <c r="B6" s="24" t="s">
        <v>639</v>
      </c>
      <c r="C6" s="25" t="s">
        <v>646</v>
      </c>
      <c r="D6" s="26" t="s">
        <v>647</v>
      </c>
      <c r="E6" s="30">
        <v>3</v>
      </c>
      <c r="F6" s="21" t="s">
        <v>60</v>
      </c>
      <c r="G6" s="19"/>
      <c r="H6" s="19"/>
    </row>
    <row r="7" spans="1:8" x14ac:dyDescent="0.2">
      <c r="A7" s="16" t="s">
        <v>648</v>
      </c>
      <c r="B7" s="16" t="s">
        <v>649</v>
      </c>
      <c r="C7" s="16"/>
      <c r="D7" s="16"/>
      <c r="E7" s="16"/>
      <c r="F7" s="16"/>
      <c r="G7" s="16"/>
      <c r="H7" s="16"/>
    </row>
    <row r="8" spans="1:8" ht="32" x14ac:dyDescent="0.2">
      <c r="A8" s="17" t="s">
        <v>648</v>
      </c>
      <c r="B8" s="17" t="s">
        <v>649</v>
      </c>
      <c r="C8" s="18" t="s">
        <v>650</v>
      </c>
      <c r="D8" s="19" t="s">
        <v>651</v>
      </c>
      <c r="E8" s="29">
        <v>1</v>
      </c>
      <c r="F8" s="21" t="s">
        <v>45</v>
      </c>
      <c r="G8" s="19" t="s">
        <v>1079</v>
      </c>
      <c r="H8" s="19" t="s">
        <v>1078</v>
      </c>
    </row>
    <row r="9" spans="1:8" ht="64" x14ac:dyDescent="0.2">
      <c r="A9" s="24" t="s">
        <v>648</v>
      </c>
      <c r="B9" s="24" t="s">
        <v>649</v>
      </c>
      <c r="C9" s="25" t="s">
        <v>652</v>
      </c>
      <c r="D9" s="26" t="s">
        <v>653</v>
      </c>
      <c r="E9" s="29">
        <v>1</v>
      </c>
      <c r="F9" s="21" t="s">
        <v>45</v>
      </c>
      <c r="G9" s="26" t="s">
        <v>1080</v>
      </c>
      <c r="H9" s="19" t="s">
        <v>1078</v>
      </c>
    </row>
    <row r="10" spans="1:8" ht="48" x14ac:dyDescent="0.2">
      <c r="A10" s="17" t="s">
        <v>648</v>
      </c>
      <c r="B10" s="17" t="s">
        <v>649</v>
      </c>
      <c r="C10" s="18" t="s">
        <v>654</v>
      </c>
      <c r="D10" s="19" t="s">
        <v>655</v>
      </c>
      <c r="E10" s="20">
        <v>2</v>
      </c>
      <c r="F10" s="21" t="s">
        <v>45</v>
      </c>
      <c r="G10" s="26" t="s">
        <v>1080</v>
      </c>
      <c r="H10" s="19" t="s">
        <v>1078</v>
      </c>
    </row>
    <row r="11" spans="1:8" ht="96" x14ac:dyDescent="0.2">
      <c r="A11" s="24" t="s">
        <v>648</v>
      </c>
      <c r="B11" s="24" t="s">
        <v>649</v>
      </c>
      <c r="C11" s="25" t="s">
        <v>656</v>
      </c>
      <c r="D11" s="26" t="s">
        <v>657</v>
      </c>
      <c r="E11" s="30">
        <v>3</v>
      </c>
      <c r="F11" s="21" t="s">
        <v>60</v>
      </c>
      <c r="G11" s="26"/>
      <c r="H11" s="26"/>
    </row>
    <row r="12" spans="1:8" x14ac:dyDescent="0.2">
      <c r="A12" s="16" t="s">
        <v>658</v>
      </c>
      <c r="B12" s="16" t="s">
        <v>659</v>
      </c>
      <c r="C12" s="16"/>
      <c r="D12" s="16"/>
      <c r="E12" s="16"/>
      <c r="F12" s="16"/>
      <c r="G12" s="16"/>
      <c r="H12" s="16"/>
    </row>
    <row r="13" spans="1:8" ht="48" x14ac:dyDescent="0.2">
      <c r="A13" s="17" t="s">
        <v>658</v>
      </c>
      <c r="B13" s="17" t="s">
        <v>659</v>
      </c>
      <c r="C13" s="18" t="s">
        <v>660</v>
      </c>
      <c r="D13" s="19" t="s">
        <v>661</v>
      </c>
      <c r="E13" s="29">
        <v>1</v>
      </c>
      <c r="F13" s="21" t="s">
        <v>45</v>
      </c>
      <c r="G13" s="19" t="s">
        <v>1081</v>
      </c>
      <c r="H13" s="19" t="s">
        <v>1078</v>
      </c>
    </row>
    <row r="14" spans="1:8" ht="96" x14ac:dyDescent="0.2">
      <c r="A14" s="24" t="s">
        <v>658</v>
      </c>
      <c r="B14" s="24" t="s">
        <v>659</v>
      </c>
      <c r="C14" s="25" t="s">
        <v>662</v>
      </c>
      <c r="D14" s="26" t="s">
        <v>663</v>
      </c>
      <c r="E14" s="30">
        <v>3</v>
      </c>
      <c r="F14" s="21" t="s">
        <v>45</v>
      </c>
      <c r="G14" s="26" t="s">
        <v>1082</v>
      </c>
      <c r="H14" s="19" t="s">
        <v>1084</v>
      </c>
    </row>
    <row r="15" spans="1:8" ht="112" x14ac:dyDescent="0.2">
      <c r="A15" s="17" t="s">
        <v>658</v>
      </c>
      <c r="B15" s="17" t="s">
        <v>659</v>
      </c>
      <c r="C15" s="18" t="s">
        <v>664</v>
      </c>
      <c r="D15" s="19" t="s">
        <v>665</v>
      </c>
      <c r="E15" s="30">
        <v>3</v>
      </c>
      <c r="F15" s="21" t="s">
        <v>60</v>
      </c>
      <c r="G15" s="19" t="s">
        <v>1085</v>
      </c>
      <c r="H15" s="19"/>
    </row>
    <row r="16" spans="1:8" x14ac:dyDescent="0.2">
      <c r="A16" s="16" t="s">
        <v>666</v>
      </c>
      <c r="B16" s="16" t="s">
        <v>667</v>
      </c>
      <c r="C16" s="16"/>
      <c r="D16" s="16"/>
      <c r="E16" s="16"/>
      <c r="F16" s="16"/>
      <c r="G16" s="16"/>
      <c r="H16" s="16"/>
    </row>
    <row r="17" spans="1:8" ht="48" x14ac:dyDescent="0.2">
      <c r="A17" s="17" t="s">
        <v>666</v>
      </c>
      <c r="B17" s="17" t="s">
        <v>667</v>
      </c>
      <c r="C17" s="18" t="s">
        <v>668</v>
      </c>
      <c r="D17" s="19" t="s">
        <v>669</v>
      </c>
      <c r="E17" s="20">
        <v>2</v>
      </c>
      <c r="F17" s="21" t="s">
        <v>60</v>
      </c>
      <c r="G17" s="19" t="s">
        <v>1086</v>
      </c>
      <c r="H17" s="19"/>
    </row>
    <row r="18" spans="1:8" ht="96" x14ac:dyDescent="0.2">
      <c r="A18" s="24" t="s">
        <v>666</v>
      </c>
      <c r="B18" s="24" t="s">
        <v>667</v>
      </c>
      <c r="C18" s="25" t="s">
        <v>670</v>
      </c>
      <c r="D18" s="26" t="s">
        <v>671</v>
      </c>
      <c r="E18" s="30">
        <v>3</v>
      </c>
      <c r="F18" s="21" t="s">
        <v>181</v>
      </c>
      <c r="G18" s="26" t="s">
        <v>1087</v>
      </c>
      <c r="H18" s="19" t="s">
        <v>1084</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125" zoomScaleNormal="73" workbookViewId="0">
      <pane ySplit="1" topLeftCell="A4" activePane="bottomLeft" state="frozen"/>
      <selection pane="bottomLeft" activeCell="G11" sqref="G11"/>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
      <c r="A1" s="15" t="s">
        <v>33</v>
      </c>
      <c r="B1" s="15" t="s">
        <v>34</v>
      </c>
      <c r="C1" s="15" t="s">
        <v>35</v>
      </c>
      <c r="D1" s="15" t="s">
        <v>36</v>
      </c>
      <c r="E1" s="15" t="s">
        <v>37</v>
      </c>
      <c r="F1" s="15" t="s">
        <v>38</v>
      </c>
      <c r="G1" s="15" t="s">
        <v>39</v>
      </c>
      <c r="H1" s="15" t="s">
        <v>40</v>
      </c>
    </row>
    <row r="2" spans="1:8" x14ac:dyDescent="0.2">
      <c r="A2" s="16" t="s">
        <v>672</v>
      </c>
      <c r="B2" s="16" t="s">
        <v>673</v>
      </c>
      <c r="C2" s="16"/>
      <c r="D2" s="16"/>
      <c r="E2" s="16"/>
      <c r="F2" s="16"/>
      <c r="G2" s="16"/>
      <c r="H2" s="16"/>
    </row>
    <row r="3" spans="1:8" ht="32" x14ac:dyDescent="0.2">
      <c r="A3" s="17" t="s">
        <v>672</v>
      </c>
      <c r="B3" s="17" t="s">
        <v>673</v>
      </c>
      <c r="C3" s="18" t="s">
        <v>674</v>
      </c>
      <c r="D3" s="19" t="s">
        <v>675</v>
      </c>
      <c r="E3" s="29">
        <v>1</v>
      </c>
      <c r="F3" s="21" t="s">
        <v>45</v>
      </c>
      <c r="G3" s="19" t="s">
        <v>1088</v>
      </c>
      <c r="H3" s="19" t="s">
        <v>1083</v>
      </c>
    </row>
    <row r="4" spans="1:8" ht="96" x14ac:dyDescent="0.2">
      <c r="A4" s="24" t="s">
        <v>672</v>
      </c>
      <c r="B4" s="24" t="s">
        <v>673</v>
      </c>
      <c r="C4" s="25" t="s">
        <v>676</v>
      </c>
      <c r="D4" s="26" t="s">
        <v>677</v>
      </c>
      <c r="E4" s="29">
        <v>1</v>
      </c>
      <c r="F4" s="21" t="s">
        <v>45</v>
      </c>
      <c r="G4" s="26" t="s">
        <v>1089</v>
      </c>
      <c r="H4" s="19" t="s">
        <v>146</v>
      </c>
    </row>
    <row r="5" spans="1:8" ht="80" x14ac:dyDescent="0.2">
      <c r="A5" s="17" t="s">
        <v>672</v>
      </c>
      <c r="B5" s="17" t="s">
        <v>673</v>
      </c>
      <c r="C5" s="18" t="s">
        <v>678</v>
      </c>
      <c r="D5" s="19" t="s">
        <v>679</v>
      </c>
      <c r="E5" s="29">
        <v>1</v>
      </c>
      <c r="F5" s="21" t="s">
        <v>45</v>
      </c>
      <c r="G5" s="26" t="s">
        <v>1090</v>
      </c>
      <c r="H5" s="19" t="s">
        <v>146</v>
      </c>
    </row>
    <row r="6" spans="1:8" x14ac:dyDescent="0.2">
      <c r="A6" s="16" t="s">
        <v>680</v>
      </c>
      <c r="B6" s="16" t="s">
        <v>681</v>
      </c>
      <c r="C6" s="16"/>
      <c r="D6" s="16"/>
      <c r="E6" s="16"/>
      <c r="F6" s="16"/>
      <c r="G6" s="16"/>
      <c r="H6" s="16"/>
    </row>
    <row r="7" spans="1:8" ht="48" x14ac:dyDescent="0.2">
      <c r="A7" s="17" t="s">
        <v>680</v>
      </c>
      <c r="B7" s="17" t="s">
        <v>681</v>
      </c>
      <c r="C7" s="18" t="s">
        <v>682</v>
      </c>
      <c r="D7" s="19" t="s">
        <v>683</v>
      </c>
      <c r="E7" s="29">
        <v>1</v>
      </c>
      <c r="F7" s="21" t="s">
        <v>45</v>
      </c>
      <c r="G7" s="19" t="s">
        <v>1091</v>
      </c>
      <c r="H7" s="19" t="s">
        <v>581</v>
      </c>
    </row>
    <row r="8" spans="1:8" ht="64" x14ac:dyDescent="0.2">
      <c r="A8" s="24" t="s">
        <v>680</v>
      </c>
      <c r="B8" s="24" t="s">
        <v>681</v>
      </c>
      <c r="C8" s="25" t="s">
        <v>684</v>
      </c>
      <c r="D8" s="26" t="s">
        <v>685</v>
      </c>
      <c r="E8" s="20">
        <v>2</v>
      </c>
      <c r="F8" s="21" t="s">
        <v>45</v>
      </c>
      <c r="G8" s="26" t="s">
        <v>1092</v>
      </c>
      <c r="H8" s="26" t="s">
        <v>1083</v>
      </c>
    </row>
    <row r="9" spans="1:8" ht="48" x14ac:dyDescent="0.2">
      <c r="A9" s="17" t="s">
        <v>680</v>
      </c>
      <c r="B9" s="17" t="s">
        <v>681</v>
      </c>
      <c r="C9" s="18" t="s">
        <v>686</v>
      </c>
      <c r="D9" s="19" t="s">
        <v>687</v>
      </c>
      <c r="E9" s="20">
        <v>2</v>
      </c>
      <c r="F9" s="21" t="s">
        <v>60</v>
      </c>
      <c r="G9" s="19" t="s">
        <v>1093</v>
      </c>
      <c r="H9" s="19"/>
    </row>
    <row r="10" spans="1:8" ht="96" x14ac:dyDescent="0.2">
      <c r="A10" s="24" t="s">
        <v>680</v>
      </c>
      <c r="B10" s="24" t="s">
        <v>681</v>
      </c>
      <c r="C10" s="25" t="s">
        <v>688</v>
      </c>
      <c r="D10" s="26" t="s">
        <v>689</v>
      </c>
      <c r="E10" s="20">
        <v>2</v>
      </c>
      <c r="F10" s="21" t="s">
        <v>60</v>
      </c>
      <c r="G10" s="26" t="s">
        <v>1094</v>
      </c>
      <c r="H10" s="26"/>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110" zoomScaleNormal="73" workbookViewId="0">
      <pane ySplit="1" topLeftCell="A14" activePane="bottomLeft" state="frozen"/>
      <selection pane="bottomLeft" activeCell="F44" sqref="F44"/>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
      <c r="A1" s="15" t="s">
        <v>33</v>
      </c>
      <c r="B1" s="15" t="s">
        <v>34</v>
      </c>
      <c r="C1" s="15" t="s">
        <v>35</v>
      </c>
      <c r="D1" s="15" t="s">
        <v>36</v>
      </c>
      <c r="E1" s="15" t="s">
        <v>37</v>
      </c>
      <c r="F1" s="15" t="s">
        <v>38</v>
      </c>
      <c r="G1" s="15" t="s">
        <v>39</v>
      </c>
      <c r="H1" s="15" t="s">
        <v>40</v>
      </c>
    </row>
    <row r="2" spans="1:8" x14ac:dyDescent="0.2">
      <c r="A2" s="16" t="s">
        <v>690</v>
      </c>
      <c r="B2" s="16" t="s">
        <v>691</v>
      </c>
      <c r="C2" s="16"/>
      <c r="D2" s="16"/>
      <c r="E2" s="16"/>
      <c r="F2" s="16"/>
      <c r="G2" s="16"/>
      <c r="H2" s="16"/>
    </row>
    <row r="3" spans="1:8" ht="64" x14ac:dyDescent="0.2">
      <c r="A3" s="17" t="s">
        <v>690</v>
      </c>
      <c r="B3" s="17" t="s">
        <v>691</v>
      </c>
      <c r="C3" s="18" t="s">
        <v>692</v>
      </c>
      <c r="D3" s="19" t="s">
        <v>693</v>
      </c>
      <c r="E3" s="20">
        <v>2</v>
      </c>
      <c r="F3" s="21" t="s">
        <v>60</v>
      </c>
      <c r="G3" s="19"/>
      <c r="H3" s="19"/>
    </row>
    <row r="4" spans="1:8" ht="112" x14ac:dyDescent="0.2">
      <c r="A4" s="24" t="s">
        <v>690</v>
      </c>
      <c r="B4" s="24" t="s">
        <v>691</v>
      </c>
      <c r="C4" s="25" t="s">
        <v>694</v>
      </c>
      <c r="D4" s="26" t="s">
        <v>695</v>
      </c>
      <c r="E4" s="20">
        <v>2</v>
      </c>
      <c r="F4" s="21" t="s">
        <v>60</v>
      </c>
      <c r="G4" s="26"/>
      <c r="H4" s="26"/>
    </row>
    <row r="5" spans="1:8" x14ac:dyDescent="0.2">
      <c r="A5" s="16" t="s">
        <v>696</v>
      </c>
      <c r="B5" s="16" t="s">
        <v>697</v>
      </c>
      <c r="C5" s="16"/>
      <c r="D5" s="16"/>
      <c r="E5" s="16"/>
      <c r="F5" s="16"/>
      <c r="G5" s="16"/>
      <c r="H5" s="16"/>
    </row>
    <row r="6" spans="1:8" ht="80" x14ac:dyDescent="0.2">
      <c r="A6" s="17" t="s">
        <v>696</v>
      </c>
      <c r="B6" s="17" t="s">
        <v>697</v>
      </c>
      <c r="C6" s="18" t="s">
        <v>698</v>
      </c>
      <c r="D6" s="19" t="s">
        <v>699</v>
      </c>
      <c r="E6" s="20">
        <v>2</v>
      </c>
      <c r="F6" s="21" t="s">
        <v>60</v>
      </c>
      <c r="G6" s="19"/>
      <c r="H6" s="19"/>
    </row>
    <row r="7" spans="1:8" ht="64" x14ac:dyDescent="0.2">
      <c r="A7" s="24" t="s">
        <v>696</v>
      </c>
      <c r="B7" s="24" t="s">
        <v>697</v>
      </c>
      <c r="C7" s="25" t="s">
        <v>700</v>
      </c>
      <c r="D7" s="26" t="s">
        <v>701</v>
      </c>
      <c r="E7" s="20">
        <v>2</v>
      </c>
      <c r="F7" s="21" t="s">
        <v>60</v>
      </c>
      <c r="G7" s="26"/>
      <c r="H7" s="26"/>
    </row>
    <row r="8" spans="1:8" ht="32" x14ac:dyDescent="0.2">
      <c r="A8" s="17" t="s">
        <v>696</v>
      </c>
      <c r="B8" s="17" t="s">
        <v>697</v>
      </c>
      <c r="C8" s="18" t="s">
        <v>702</v>
      </c>
      <c r="D8" s="19" t="s">
        <v>703</v>
      </c>
      <c r="E8" s="30">
        <v>3</v>
      </c>
      <c r="F8" s="21" t="s">
        <v>60</v>
      </c>
      <c r="G8" s="19"/>
      <c r="H8" s="19"/>
    </row>
    <row r="9" spans="1:8" x14ac:dyDescent="0.2">
      <c r="A9" s="16" t="s">
        <v>704</v>
      </c>
      <c r="B9" s="16" t="s">
        <v>705</v>
      </c>
      <c r="C9" s="16"/>
      <c r="D9" s="16"/>
      <c r="E9" s="16"/>
      <c r="F9" s="16"/>
      <c r="G9" s="16"/>
      <c r="H9" s="16"/>
    </row>
    <row r="10" spans="1:8" ht="64" x14ac:dyDescent="0.2">
      <c r="A10" s="17" t="s">
        <v>704</v>
      </c>
      <c r="B10" s="17" t="s">
        <v>705</v>
      </c>
      <c r="C10" s="18" t="s">
        <v>706</v>
      </c>
      <c r="D10" s="19" t="s">
        <v>707</v>
      </c>
      <c r="E10" s="20">
        <v>2</v>
      </c>
      <c r="F10" s="21" t="s">
        <v>60</v>
      </c>
      <c r="G10" s="19"/>
      <c r="H10" s="19"/>
    </row>
    <row r="11" spans="1:8" ht="64" x14ac:dyDescent="0.2">
      <c r="A11" s="24" t="s">
        <v>704</v>
      </c>
      <c r="B11" s="24" t="s">
        <v>705</v>
      </c>
      <c r="C11" s="25" t="s">
        <v>708</v>
      </c>
      <c r="D11" s="26" t="s">
        <v>709</v>
      </c>
      <c r="E11" s="20">
        <v>2</v>
      </c>
      <c r="F11" s="21" t="s">
        <v>60</v>
      </c>
      <c r="G11" s="26"/>
      <c r="H11" s="26"/>
    </row>
    <row r="12" spans="1:8" ht="64" x14ac:dyDescent="0.2">
      <c r="A12" s="17" t="s">
        <v>704</v>
      </c>
      <c r="B12" s="17" t="s">
        <v>705</v>
      </c>
      <c r="C12" s="18" t="s">
        <v>710</v>
      </c>
      <c r="D12" s="19" t="s">
        <v>711</v>
      </c>
      <c r="E12" s="20">
        <v>2</v>
      </c>
      <c r="F12" s="21" t="s">
        <v>60</v>
      </c>
      <c r="G12" s="19"/>
      <c r="H12" s="19"/>
    </row>
    <row r="13" spans="1:8" ht="64" x14ac:dyDescent="0.2">
      <c r="A13" s="24" t="s">
        <v>704</v>
      </c>
      <c r="B13" s="24" t="s">
        <v>705</v>
      </c>
      <c r="C13" s="25" t="s">
        <v>712</v>
      </c>
      <c r="D13" s="26" t="s">
        <v>713</v>
      </c>
      <c r="E13" s="20">
        <v>2</v>
      </c>
      <c r="F13" s="21" t="s">
        <v>60</v>
      </c>
      <c r="G13" s="26"/>
      <c r="H13" s="26"/>
    </row>
    <row r="14" spans="1:8" ht="64" x14ac:dyDescent="0.2">
      <c r="A14" s="17" t="s">
        <v>704</v>
      </c>
      <c r="B14" s="17" t="s">
        <v>705</v>
      </c>
      <c r="C14" s="18" t="s">
        <v>714</v>
      </c>
      <c r="D14" s="19" t="s">
        <v>715</v>
      </c>
      <c r="E14" s="30">
        <v>3</v>
      </c>
      <c r="F14" s="21" t="s">
        <v>60</v>
      </c>
      <c r="G14" s="19"/>
      <c r="H14" s="19"/>
    </row>
    <row r="15" spans="1:8" x14ac:dyDescent="0.2">
      <c r="A15" s="16" t="s">
        <v>716</v>
      </c>
      <c r="B15" s="16" t="s">
        <v>717</v>
      </c>
      <c r="C15" s="16"/>
      <c r="D15" s="16"/>
      <c r="E15" s="16"/>
      <c r="F15" s="16"/>
      <c r="G15" s="16"/>
      <c r="H15" s="16"/>
    </row>
    <row r="16" spans="1:8" ht="32" x14ac:dyDescent="0.2">
      <c r="A16" s="17" t="s">
        <v>716</v>
      </c>
      <c r="B16" s="17" t="s">
        <v>717</v>
      </c>
      <c r="C16" s="18" t="s">
        <v>718</v>
      </c>
      <c r="D16" s="19" t="s">
        <v>719</v>
      </c>
      <c r="E16" s="29">
        <v>1</v>
      </c>
      <c r="F16" s="21" t="s">
        <v>60</v>
      </c>
      <c r="G16" s="19"/>
      <c r="H16" s="19"/>
    </row>
    <row r="17" spans="1:8" ht="80" x14ac:dyDescent="0.2">
      <c r="A17" s="24" t="s">
        <v>716</v>
      </c>
      <c r="B17" s="24" t="s">
        <v>717</v>
      </c>
      <c r="C17" s="25" t="s">
        <v>720</v>
      </c>
      <c r="D17" s="26" t="s">
        <v>721</v>
      </c>
      <c r="E17" s="29">
        <v>1</v>
      </c>
      <c r="F17" s="21" t="s">
        <v>60</v>
      </c>
      <c r="G17" s="26"/>
      <c r="H17" s="26"/>
    </row>
    <row r="18" spans="1:8" ht="48" x14ac:dyDescent="0.2">
      <c r="A18" s="17" t="s">
        <v>716</v>
      </c>
      <c r="B18" s="17" t="s">
        <v>717</v>
      </c>
      <c r="C18" s="18" t="s">
        <v>722</v>
      </c>
      <c r="D18" s="19" t="s">
        <v>723</v>
      </c>
      <c r="E18" s="29">
        <v>1</v>
      </c>
      <c r="F18" s="21" t="s">
        <v>60</v>
      </c>
      <c r="G18" s="19"/>
      <c r="H18" s="19"/>
    </row>
    <row r="19" spans="1:8" ht="64" x14ac:dyDescent="0.2">
      <c r="A19" s="24" t="s">
        <v>716</v>
      </c>
      <c r="B19" s="24" t="s">
        <v>717</v>
      </c>
      <c r="C19" s="25" t="s">
        <v>724</v>
      </c>
      <c r="D19" s="26" t="s">
        <v>725</v>
      </c>
      <c r="E19" s="29">
        <v>1</v>
      </c>
      <c r="F19" s="21" t="s">
        <v>60</v>
      </c>
      <c r="G19" s="26"/>
      <c r="H19" s="26"/>
    </row>
    <row r="20" spans="1:8" ht="128" x14ac:dyDescent="0.2">
      <c r="A20" s="17" t="s">
        <v>716</v>
      </c>
      <c r="B20" s="17" t="s">
        <v>717</v>
      </c>
      <c r="C20" s="18" t="s">
        <v>726</v>
      </c>
      <c r="D20" s="19" t="s">
        <v>727</v>
      </c>
      <c r="E20" s="29">
        <v>1</v>
      </c>
      <c r="F20" s="21" t="s">
        <v>60</v>
      </c>
      <c r="G20" s="19"/>
      <c r="H20" s="19"/>
    </row>
    <row r="21" spans="1:8" ht="96" x14ac:dyDescent="0.2">
      <c r="A21" s="24" t="s">
        <v>716</v>
      </c>
      <c r="B21" s="24" t="s">
        <v>717</v>
      </c>
      <c r="C21" s="25" t="s">
        <v>728</v>
      </c>
      <c r="D21" s="26" t="s">
        <v>729</v>
      </c>
      <c r="E21" s="20">
        <v>2</v>
      </c>
      <c r="F21" s="21" t="s">
        <v>60</v>
      </c>
      <c r="G21" s="26"/>
      <c r="H21" s="26"/>
    </row>
    <row r="22" spans="1:8" ht="80" x14ac:dyDescent="0.2">
      <c r="A22" s="17" t="s">
        <v>716</v>
      </c>
      <c r="B22" s="17" t="s">
        <v>717</v>
      </c>
      <c r="C22" s="18" t="s">
        <v>730</v>
      </c>
      <c r="D22" s="19" t="s">
        <v>731</v>
      </c>
      <c r="E22" s="20">
        <v>2</v>
      </c>
      <c r="F22" s="21" t="s">
        <v>60</v>
      </c>
      <c r="G22" s="19"/>
      <c r="H22" s="19"/>
    </row>
    <row r="23" spans="1:8" ht="32" x14ac:dyDescent="0.2">
      <c r="A23" s="24" t="s">
        <v>716</v>
      </c>
      <c r="B23" s="24" t="s">
        <v>717</v>
      </c>
      <c r="C23" s="25" t="s">
        <v>732</v>
      </c>
      <c r="D23" s="26" t="s">
        <v>733</v>
      </c>
      <c r="E23" s="20">
        <v>2</v>
      </c>
      <c r="F23" s="21" t="s">
        <v>60</v>
      </c>
      <c r="G23" s="26"/>
      <c r="H23" s="26"/>
    </row>
    <row r="24" spans="1:8" ht="48" x14ac:dyDescent="0.2">
      <c r="A24" s="17" t="s">
        <v>716</v>
      </c>
      <c r="B24" s="17" t="s">
        <v>717</v>
      </c>
      <c r="C24" s="18" t="s">
        <v>734</v>
      </c>
      <c r="D24" s="19" t="s">
        <v>735</v>
      </c>
      <c r="E24" s="20">
        <v>2</v>
      </c>
      <c r="F24" s="21" t="s">
        <v>60</v>
      </c>
      <c r="G24" s="19"/>
      <c r="H24" s="19"/>
    </row>
    <row r="25" spans="1:8" ht="48" x14ac:dyDescent="0.2">
      <c r="A25" s="24" t="s">
        <v>716</v>
      </c>
      <c r="B25" s="24" t="s">
        <v>717</v>
      </c>
      <c r="C25" s="25" t="s">
        <v>736</v>
      </c>
      <c r="D25" s="26" t="s">
        <v>737</v>
      </c>
      <c r="E25" s="20">
        <v>2</v>
      </c>
      <c r="F25" s="21" t="s">
        <v>60</v>
      </c>
      <c r="G25" s="26"/>
      <c r="H25" s="26"/>
    </row>
    <row r="26" spans="1:8" ht="32" x14ac:dyDescent="0.2">
      <c r="A26" s="17" t="s">
        <v>716</v>
      </c>
      <c r="B26" s="17" t="s">
        <v>717</v>
      </c>
      <c r="C26" s="18" t="s">
        <v>738</v>
      </c>
      <c r="D26" s="19" t="s">
        <v>739</v>
      </c>
      <c r="E26" s="20">
        <v>2</v>
      </c>
      <c r="F26" s="21" t="s">
        <v>60</v>
      </c>
      <c r="G26" s="19"/>
      <c r="H26" s="19"/>
    </row>
    <row r="27" spans="1:8" ht="80" x14ac:dyDescent="0.2">
      <c r="A27" s="24" t="s">
        <v>716</v>
      </c>
      <c r="B27" s="24" t="s">
        <v>717</v>
      </c>
      <c r="C27" s="25" t="s">
        <v>740</v>
      </c>
      <c r="D27" s="26" t="s">
        <v>741</v>
      </c>
      <c r="E27" s="30">
        <v>3</v>
      </c>
      <c r="F27" s="21" t="s">
        <v>60</v>
      </c>
      <c r="G27" s="26"/>
      <c r="H27" s="26"/>
    </row>
    <row r="28" spans="1:8" ht="32" x14ac:dyDescent="0.2">
      <c r="A28" s="17" t="s">
        <v>716</v>
      </c>
      <c r="B28" s="17" t="s">
        <v>717</v>
      </c>
      <c r="C28" s="18" t="s">
        <v>742</v>
      </c>
      <c r="D28" s="19" t="s">
        <v>743</v>
      </c>
      <c r="E28" s="30">
        <v>3</v>
      </c>
      <c r="F28" s="21" t="s">
        <v>60</v>
      </c>
      <c r="G28" s="19"/>
      <c r="H28" s="19"/>
    </row>
    <row r="29" spans="1:8" ht="64" x14ac:dyDescent="0.2">
      <c r="A29" s="24" t="s">
        <v>716</v>
      </c>
      <c r="B29" s="24" t="s">
        <v>717</v>
      </c>
      <c r="C29" s="25" t="s">
        <v>744</v>
      </c>
      <c r="D29" s="26" t="s">
        <v>745</v>
      </c>
      <c r="E29" s="30">
        <v>3</v>
      </c>
      <c r="F29" s="21" t="s">
        <v>60</v>
      </c>
      <c r="G29" s="26"/>
      <c r="H29" s="26"/>
    </row>
    <row r="30" spans="1:8" ht="80" x14ac:dyDescent="0.2">
      <c r="A30" s="17" t="s">
        <v>716</v>
      </c>
      <c r="B30" s="17" t="s">
        <v>717</v>
      </c>
      <c r="C30" s="18" t="s">
        <v>746</v>
      </c>
      <c r="D30" s="19" t="s">
        <v>747</v>
      </c>
      <c r="E30" s="30">
        <v>3</v>
      </c>
      <c r="F30" s="21" t="s">
        <v>60</v>
      </c>
      <c r="G30" s="19"/>
      <c r="H30" s="19"/>
    </row>
    <row r="31" spans="1:8" ht="80" x14ac:dyDescent="0.2">
      <c r="A31" s="24" t="s">
        <v>716</v>
      </c>
      <c r="B31" s="24" t="s">
        <v>717</v>
      </c>
      <c r="C31" s="25" t="s">
        <v>748</v>
      </c>
      <c r="D31" s="26" t="s">
        <v>749</v>
      </c>
      <c r="E31" s="30">
        <v>3</v>
      </c>
      <c r="F31" s="21" t="s">
        <v>60</v>
      </c>
      <c r="G31" s="26"/>
      <c r="H31" s="26"/>
    </row>
    <row r="32" spans="1:8" x14ac:dyDescent="0.2">
      <c r="A32" s="16" t="s">
        <v>750</v>
      </c>
      <c r="B32" s="16" t="s">
        <v>751</v>
      </c>
      <c r="C32" s="16"/>
      <c r="D32" s="16"/>
      <c r="E32" s="16"/>
      <c r="F32" s="16"/>
      <c r="G32" s="16"/>
      <c r="H32" s="16"/>
    </row>
    <row r="33" spans="1:8" ht="80" x14ac:dyDescent="0.2">
      <c r="A33" s="17" t="s">
        <v>750</v>
      </c>
      <c r="B33" s="17" t="s">
        <v>751</v>
      </c>
      <c r="C33" s="18" t="s">
        <v>752</v>
      </c>
      <c r="D33" s="19" t="s">
        <v>753</v>
      </c>
      <c r="E33" s="20">
        <v>2</v>
      </c>
      <c r="F33" s="21" t="s">
        <v>60</v>
      </c>
      <c r="G33" s="19"/>
      <c r="H33" s="19"/>
    </row>
    <row r="34" spans="1:8" ht="48" x14ac:dyDescent="0.2">
      <c r="A34" s="24" t="s">
        <v>750</v>
      </c>
      <c r="B34" s="24" t="s">
        <v>751</v>
      </c>
      <c r="C34" s="25" t="s">
        <v>754</v>
      </c>
      <c r="D34" s="26" t="s">
        <v>755</v>
      </c>
      <c r="E34" s="20">
        <v>2</v>
      </c>
      <c r="F34" s="21" t="s">
        <v>60</v>
      </c>
      <c r="G34" s="26"/>
      <c r="H34" s="26"/>
    </row>
    <row r="35" spans="1:8" ht="80" x14ac:dyDescent="0.2">
      <c r="A35" s="17" t="s">
        <v>750</v>
      </c>
      <c r="B35" s="17" t="s">
        <v>751</v>
      </c>
      <c r="C35" s="18" t="s">
        <v>756</v>
      </c>
      <c r="D35" s="19" t="s">
        <v>757</v>
      </c>
      <c r="E35" s="20">
        <v>2</v>
      </c>
      <c r="F35" s="21" t="s">
        <v>60</v>
      </c>
      <c r="G35" s="19"/>
      <c r="H35" s="19"/>
    </row>
    <row r="36" spans="1:8" ht="48" x14ac:dyDescent="0.2">
      <c r="A36" s="24" t="s">
        <v>750</v>
      </c>
      <c r="B36" s="24" t="s">
        <v>751</v>
      </c>
      <c r="C36" s="25" t="s">
        <v>758</v>
      </c>
      <c r="D36" s="26" t="s">
        <v>759</v>
      </c>
      <c r="E36" s="20">
        <v>2</v>
      </c>
      <c r="F36" s="21" t="s">
        <v>60</v>
      </c>
      <c r="G36" s="26"/>
      <c r="H36" s="26"/>
    </row>
    <row r="37" spans="1:8" ht="96" x14ac:dyDescent="0.2">
      <c r="A37" s="17" t="s">
        <v>750</v>
      </c>
      <c r="B37" s="17" t="s">
        <v>751</v>
      </c>
      <c r="C37" s="18" t="s">
        <v>760</v>
      </c>
      <c r="D37" s="19" t="s">
        <v>761</v>
      </c>
      <c r="E37" s="20">
        <v>2</v>
      </c>
      <c r="F37" s="21" t="s">
        <v>60</v>
      </c>
      <c r="G37" s="19"/>
      <c r="H37" s="19"/>
    </row>
    <row r="38" spans="1:8" x14ac:dyDescent="0.2">
      <c r="A38" s="16" t="s">
        <v>762</v>
      </c>
      <c r="B38" s="16" t="s">
        <v>763</v>
      </c>
      <c r="C38" s="16"/>
      <c r="D38" s="16"/>
      <c r="E38" s="16"/>
      <c r="F38" s="16"/>
      <c r="G38" s="16"/>
      <c r="H38" s="16"/>
    </row>
    <row r="39" spans="1:8" ht="64" x14ac:dyDescent="0.2">
      <c r="A39" s="17" t="s">
        <v>762</v>
      </c>
      <c r="B39" s="17" t="s">
        <v>763</v>
      </c>
      <c r="C39" s="18" t="s">
        <v>764</v>
      </c>
      <c r="D39" s="19" t="s">
        <v>765</v>
      </c>
      <c r="E39" s="20">
        <v>2</v>
      </c>
      <c r="F39" s="21" t="s">
        <v>60</v>
      </c>
      <c r="G39" s="19"/>
      <c r="H39" s="19"/>
    </row>
    <row r="40" spans="1:8" ht="64" x14ac:dyDescent="0.2">
      <c r="A40" s="24" t="s">
        <v>762</v>
      </c>
      <c r="B40" s="24" t="s">
        <v>763</v>
      </c>
      <c r="C40" s="25" t="s">
        <v>766</v>
      </c>
      <c r="D40" s="26" t="s">
        <v>767</v>
      </c>
      <c r="E40" s="20">
        <v>2</v>
      </c>
      <c r="F40" s="21" t="s">
        <v>60</v>
      </c>
      <c r="G40" s="26"/>
      <c r="H40" s="26"/>
    </row>
    <row r="41" spans="1:8" x14ac:dyDescent="0.2">
      <c r="A41" s="16" t="s">
        <v>768</v>
      </c>
      <c r="B41" s="16" t="s">
        <v>769</v>
      </c>
      <c r="C41" s="16"/>
      <c r="D41" s="16"/>
      <c r="E41" s="16"/>
      <c r="F41" s="16"/>
      <c r="G41" s="16"/>
      <c r="H41" s="16"/>
    </row>
    <row r="42" spans="1:8" ht="48" x14ac:dyDescent="0.2">
      <c r="A42" s="17" t="s">
        <v>768</v>
      </c>
      <c r="B42" s="17" t="s">
        <v>769</v>
      </c>
      <c r="C42" s="18" t="s">
        <v>770</v>
      </c>
      <c r="D42" s="19" t="s">
        <v>771</v>
      </c>
      <c r="E42" s="20">
        <v>2</v>
      </c>
      <c r="F42" s="21" t="s">
        <v>60</v>
      </c>
      <c r="G42" s="19"/>
      <c r="H42" s="19"/>
    </row>
    <row r="43" spans="1:8" ht="96" x14ac:dyDescent="0.2">
      <c r="A43" s="24" t="s">
        <v>768</v>
      </c>
      <c r="B43" s="24" t="s">
        <v>769</v>
      </c>
      <c r="C43" s="25" t="s">
        <v>772</v>
      </c>
      <c r="D43" s="26" t="s">
        <v>773</v>
      </c>
      <c r="E43" s="20">
        <v>2</v>
      </c>
      <c r="F43" s="21" t="s">
        <v>60</v>
      </c>
      <c r="G43" s="26"/>
      <c r="H43" s="26"/>
    </row>
    <row r="44" spans="1:8" ht="32" x14ac:dyDescent="0.2">
      <c r="A44" s="17" t="s">
        <v>768</v>
      </c>
      <c r="B44" s="17" t="s">
        <v>769</v>
      </c>
      <c r="C44" s="18" t="s">
        <v>774</v>
      </c>
      <c r="D44" s="19" t="s">
        <v>775</v>
      </c>
      <c r="E44" s="20">
        <v>2</v>
      </c>
      <c r="F44" s="21" t="s">
        <v>60</v>
      </c>
      <c r="G44" s="19"/>
      <c r="H44" s="19"/>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3" zoomScaleNormal="73"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5" t="s">
        <v>33</v>
      </c>
      <c r="B1" s="15" t="s">
        <v>34</v>
      </c>
      <c r="C1" s="15" t="s">
        <v>35</v>
      </c>
      <c r="D1" s="15" t="s">
        <v>36</v>
      </c>
      <c r="E1" s="15" t="s">
        <v>37</v>
      </c>
      <c r="F1" s="15" t="s">
        <v>38</v>
      </c>
      <c r="G1" s="15" t="s">
        <v>39</v>
      </c>
      <c r="H1" s="15" t="s">
        <v>40</v>
      </c>
    </row>
    <row r="2" spans="1:8" ht="18" customHeight="1" x14ac:dyDescent="0.2">
      <c r="A2" s="16" t="s">
        <v>776</v>
      </c>
      <c r="B2" s="16" t="s">
        <v>777</v>
      </c>
      <c r="C2" s="16"/>
      <c r="D2" s="16"/>
      <c r="E2" s="16"/>
      <c r="F2" s="16"/>
      <c r="G2" s="16"/>
      <c r="H2" s="16"/>
    </row>
    <row r="3" spans="1:8" ht="30" customHeight="1" x14ac:dyDescent="0.2">
      <c r="A3" s="17" t="s">
        <v>776</v>
      </c>
      <c r="B3" s="17" t="s">
        <v>777</v>
      </c>
      <c r="C3" s="18" t="s">
        <v>778</v>
      </c>
      <c r="D3" s="19" t="s">
        <v>779</v>
      </c>
      <c r="E3" s="20">
        <v>2</v>
      </c>
      <c r="F3" s="21" t="s">
        <v>181</v>
      </c>
      <c r="G3" s="19"/>
      <c r="H3" s="19"/>
    </row>
    <row r="4" spans="1:8" ht="30" customHeight="1" x14ac:dyDescent="0.2">
      <c r="A4" s="24" t="s">
        <v>776</v>
      </c>
      <c r="B4" s="24" t="s">
        <v>777</v>
      </c>
      <c r="C4" s="25" t="s">
        <v>780</v>
      </c>
      <c r="D4" s="26" t="s">
        <v>781</v>
      </c>
      <c r="E4" s="20">
        <v>2</v>
      </c>
      <c r="F4" s="21" t="s">
        <v>181</v>
      </c>
      <c r="G4" s="26"/>
      <c r="H4" s="26"/>
    </row>
    <row r="5" spans="1:8" ht="30" customHeight="1" x14ac:dyDescent="0.2">
      <c r="A5" s="17" t="s">
        <v>776</v>
      </c>
      <c r="B5" s="17" t="s">
        <v>777</v>
      </c>
      <c r="C5" s="18" t="s">
        <v>782</v>
      </c>
      <c r="D5" s="19" t="s">
        <v>783</v>
      </c>
      <c r="E5" s="30">
        <v>3</v>
      </c>
      <c r="F5" s="21" t="s">
        <v>181</v>
      </c>
      <c r="G5" s="19"/>
      <c r="H5" s="19"/>
    </row>
    <row r="6" spans="1:8" ht="30" customHeight="1" x14ac:dyDescent="0.2">
      <c r="A6" s="24" t="s">
        <v>776</v>
      </c>
      <c r="B6" s="24" t="s">
        <v>777</v>
      </c>
      <c r="C6" s="25" t="s">
        <v>784</v>
      </c>
      <c r="D6" s="26" t="s">
        <v>785</v>
      </c>
      <c r="E6" s="30">
        <v>3</v>
      </c>
      <c r="F6" s="21" t="s">
        <v>181</v>
      </c>
      <c r="G6" s="26"/>
      <c r="H6" s="26"/>
    </row>
    <row r="7" spans="1:8" ht="18" customHeight="1" x14ac:dyDescent="0.2">
      <c r="A7" s="16" t="s">
        <v>786</v>
      </c>
      <c r="B7" s="16" t="s">
        <v>787</v>
      </c>
      <c r="C7" s="16"/>
      <c r="D7" s="16"/>
      <c r="E7" s="16"/>
      <c r="F7" s="16"/>
      <c r="G7" s="16"/>
      <c r="H7" s="16"/>
    </row>
    <row r="8" spans="1:8" ht="30" customHeight="1" x14ac:dyDescent="0.2">
      <c r="A8" s="17" t="s">
        <v>786</v>
      </c>
      <c r="B8" s="17" t="s">
        <v>787</v>
      </c>
      <c r="C8" s="18" t="s">
        <v>788</v>
      </c>
      <c r="D8" s="19" t="s">
        <v>789</v>
      </c>
      <c r="E8" s="20">
        <v>2</v>
      </c>
      <c r="F8" s="21" t="s">
        <v>181</v>
      </c>
      <c r="G8" s="19"/>
      <c r="H8" s="19"/>
    </row>
    <row r="9" spans="1:8" ht="30" customHeight="1" x14ac:dyDescent="0.2">
      <c r="A9" s="24" t="s">
        <v>786</v>
      </c>
      <c r="B9" s="24" t="s">
        <v>787</v>
      </c>
      <c r="C9" s="25" t="s">
        <v>790</v>
      </c>
      <c r="D9" s="26" t="s">
        <v>791</v>
      </c>
      <c r="E9" s="20">
        <v>2</v>
      </c>
      <c r="F9" s="21" t="s">
        <v>181</v>
      </c>
      <c r="G9" s="26"/>
      <c r="H9" s="26"/>
    </row>
    <row r="10" spans="1:8" ht="30" customHeight="1" x14ac:dyDescent="0.2">
      <c r="A10" s="17" t="s">
        <v>786</v>
      </c>
      <c r="B10" s="17" t="s">
        <v>787</v>
      </c>
      <c r="C10" s="18" t="s">
        <v>792</v>
      </c>
      <c r="D10" s="19" t="s">
        <v>793</v>
      </c>
      <c r="E10" s="20">
        <v>2</v>
      </c>
      <c r="F10" s="21" t="s">
        <v>181</v>
      </c>
      <c r="G10" s="19"/>
      <c r="H10" s="19"/>
    </row>
    <row r="11" spans="1:8" ht="30" customHeight="1" x14ac:dyDescent="0.2">
      <c r="A11" s="24" t="s">
        <v>786</v>
      </c>
      <c r="B11" s="24" t="s">
        <v>787</v>
      </c>
      <c r="C11" s="25" t="s">
        <v>794</v>
      </c>
      <c r="D11" s="26" t="s">
        <v>795</v>
      </c>
      <c r="E11" s="30">
        <v>3</v>
      </c>
      <c r="F11" s="21" t="s">
        <v>181</v>
      </c>
      <c r="G11" s="26"/>
      <c r="H11" s="26"/>
    </row>
    <row r="12" spans="1:8" ht="30" customHeight="1" x14ac:dyDescent="0.2">
      <c r="A12" s="17" t="s">
        <v>786</v>
      </c>
      <c r="B12" s="17" t="s">
        <v>787</v>
      </c>
      <c r="C12" s="18" t="s">
        <v>796</v>
      </c>
      <c r="D12" s="19" t="s">
        <v>797</v>
      </c>
      <c r="E12" s="30">
        <v>3</v>
      </c>
      <c r="F12" s="21" t="s">
        <v>181</v>
      </c>
      <c r="G12" s="19"/>
      <c r="H12" s="19"/>
    </row>
    <row r="13" spans="1:8" ht="18" customHeight="1" x14ac:dyDescent="0.2">
      <c r="A13" s="16" t="s">
        <v>798</v>
      </c>
      <c r="B13" s="16" t="s">
        <v>799</v>
      </c>
      <c r="C13" s="16"/>
      <c r="D13" s="16"/>
      <c r="E13" s="16"/>
      <c r="F13" s="16"/>
      <c r="G13" s="16"/>
      <c r="H13" s="16"/>
    </row>
    <row r="14" spans="1:8" ht="30" customHeight="1" x14ac:dyDescent="0.2">
      <c r="A14" s="17" t="s">
        <v>798</v>
      </c>
      <c r="B14" s="17" t="s">
        <v>799</v>
      </c>
      <c r="C14" s="18" t="s">
        <v>800</v>
      </c>
      <c r="D14" s="19" t="s">
        <v>801</v>
      </c>
      <c r="E14" s="29">
        <v>1</v>
      </c>
      <c r="F14" s="21" t="s">
        <v>181</v>
      </c>
      <c r="G14" s="19"/>
      <c r="H14" s="19"/>
    </row>
    <row r="15" spans="1:8" ht="30" customHeight="1" x14ac:dyDescent="0.2">
      <c r="A15" s="24" t="s">
        <v>798</v>
      </c>
      <c r="B15" s="24" t="s">
        <v>799</v>
      </c>
      <c r="C15" s="25" t="s">
        <v>802</v>
      </c>
      <c r="D15" s="26" t="s">
        <v>803</v>
      </c>
      <c r="E15" s="29">
        <v>1</v>
      </c>
      <c r="F15" s="21" t="s">
        <v>181</v>
      </c>
      <c r="G15" s="26"/>
      <c r="H15" s="26"/>
    </row>
    <row r="16" spans="1:8" ht="30" customHeight="1" x14ac:dyDescent="0.2">
      <c r="A16" s="17" t="s">
        <v>798</v>
      </c>
      <c r="B16" s="17" t="s">
        <v>799</v>
      </c>
      <c r="C16" s="18" t="s">
        <v>804</v>
      </c>
      <c r="D16" s="19" t="s">
        <v>805</v>
      </c>
      <c r="E16" s="20">
        <v>2</v>
      </c>
      <c r="F16" s="21" t="s">
        <v>181</v>
      </c>
      <c r="G16" s="19"/>
      <c r="H16" s="19"/>
    </row>
    <row r="17" spans="1:8" ht="30" customHeight="1" x14ac:dyDescent="0.2">
      <c r="A17" s="24" t="s">
        <v>798</v>
      </c>
      <c r="B17" s="24" t="s">
        <v>799</v>
      </c>
      <c r="C17" s="25" t="s">
        <v>806</v>
      </c>
      <c r="D17" s="26" t="s">
        <v>807</v>
      </c>
      <c r="E17" s="30">
        <v>3</v>
      </c>
      <c r="F17" s="21" t="s">
        <v>181</v>
      </c>
      <c r="G17" s="26"/>
      <c r="H17" s="26"/>
    </row>
    <row r="18" spans="1:8" ht="30" customHeight="1" x14ac:dyDescent="0.2">
      <c r="A18" s="17" t="s">
        <v>798</v>
      </c>
      <c r="B18" s="17" t="s">
        <v>799</v>
      </c>
      <c r="C18" s="18" t="s">
        <v>808</v>
      </c>
      <c r="D18" s="19" t="s">
        <v>809</v>
      </c>
      <c r="E18" s="30">
        <v>3</v>
      </c>
      <c r="F18" s="21" t="s">
        <v>181</v>
      </c>
      <c r="G18" s="19"/>
      <c r="H18" s="19"/>
    </row>
    <row r="19" spans="1:8" ht="18" customHeight="1" x14ac:dyDescent="0.2">
      <c r="A19" s="16" t="s">
        <v>810</v>
      </c>
      <c r="B19" s="16" t="s">
        <v>811</v>
      </c>
      <c r="C19" s="16"/>
      <c r="D19" s="16"/>
      <c r="E19" s="16"/>
      <c r="F19" s="16"/>
      <c r="G19" s="16"/>
      <c r="H19" s="16"/>
    </row>
    <row r="20" spans="1:8" ht="30" customHeight="1" x14ac:dyDescent="0.2">
      <c r="A20" s="17" t="s">
        <v>810</v>
      </c>
      <c r="B20" s="17" t="s">
        <v>811</v>
      </c>
      <c r="C20" s="18" t="s">
        <v>812</v>
      </c>
      <c r="D20" s="19" t="s">
        <v>813</v>
      </c>
      <c r="E20" s="29">
        <v>1</v>
      </c>
      <c r="F20" s="21" t="s">
        <v>181</v>
      </c>
      <c r="G20" s="19"/>
      <c r="H20" s="19"/>
    </row>
    <row r="21" spans="1:8" ht="30" customHeight="1" x14ac:dyDescent="0.2">
      <c r="A21" s="24" t="s">
        <v>810</v>
      </c>
      <c r="B21" s="24" t="s">
        <v>811</v>
      </c>
      <c r="C21" s="25" t="s">
        <v>814</v>
      </c>
      <c r="D21" s="26" t="s">
        <v>815</v>
      </c>
      <c r="E21" s="20">
        <v>2</v>
      </c>
      <c r="F21" s="21" t="s">
        <v>181</v>
      </c>
      <c r="G21" s="26"/>
      <c r="H21" s="26"/>
    </row>
    <row r="22" spans="1:8" ht="30" customHeight="1" x14ac:dyDescent="0.2">
      <c r="A22" s="17" t="s">
        <v>810</v>
      </c>
      <c r="B22" s="17" t="s">
        <v>811</v>
      </c>
      <c r="C22" s="18" t="s">
        <v>816</v>
      </c>
      <c r="D22" s="19" t="s">
        <v>817</v>
      </c>
      <c r="E22" s="20">
        <v>2</v>
      </c>
      <c r="F22" s="21" t="s">
        <v>181</v>
      </c>
      <c r="G22" s="19"/>
      <c r="H22" s="19"/>
    </row>
    <row r="23" spans="1:8" ht="30" customHeight="1" x14ac:dyDescent="0.2">
      <c r="A23" s="24" t="s">
        <v>810</v>
      </c>
      <c r="B23" s="24" t="s">
        <v>811</v>
      </c>
      <c r="C23" s="25" t="s">
        <v>818</v>
      </c>
      <c r="D23" s="26" t="s">
        <v>819</v>
      </c>
      <c r="E23" s="20">
        <v>2</v>
      </c>
      <c r="F23" s="21" t="s">
        <v>181</v>
      </c>
      <c r="G23" s="26"/>
      <c r="H23" s="26"/>
    </row>
    <row r="24" spans="1:8" ht="18" customHeight="1" x14ac:dyDescent="0.2">
      <c r="A24" s="16" t="s">
        <v>820</v>
      </c>
      <c r="B24" s="16" t="s">
        <v>821</v>
      </c>
      <c r="C24" s="16"/>
      <c r="D24" s="16"/>
      <c r="E24" s="16"/>
      <c r="F24" s="16"/>
      <c r="G24" s="16"/>
      <c r="H24" s="16"/>
    </row>
    <row r="25" spans="1:8" ht="30" customHeight="1" x14ac:dyDescent="0.2">
      <c r="A25" s="17" t="s">
        <v>820</v>
      </c>
      <c r="B25" s="17" t="s">
        <v>821</v>
      </c>
      <c r="C25" s="18" t="s">
        <v>822</v>
      </c>
      <c r="D25" s="19" t="s">
        <v>823</v>
      </c>
      <c r="E25" s="20">
        <v>2</v>
      </c>
      <c r="F25" s="21" t="s">
        <v>181</v>
      </c>
      <c r="G25" s="19"/>
      <c r="H25" s="19"/>
    </row>
    <row r="26" spans="1:8" ht="30" customHeight="1" x14ac:dyDescent="0.2">
      <c r="A26" s="24" t="s">
        <v>820</v>
      </c>
      <c r="B26" s="24" t="s">
        <v>821</v>
      </c>
      <c r="C26" s="25" t="s">
        <v>824</v>
      </c>
      <c r="D26" s="26" t="s">
        <v>825</v>
      </c>
      <c r="E26" s="30">
        <v>3</v>
      </c>
      <c r="F26" s="21" t="s">
        <v>181</v>
      </c>
      <c r="G26" s="26"/>
      <c r="H26" s="26"/>
    </row>
    <row r="27" spans="1:8" ht="18" customHeight="1" x14ac:dyDescent="0.2">
      <c r="A27" s="16" t="s">
        <v>826</v>
      </c>
      <c r="B27" s="16" t="s">
        <v>827</v>
      </c>
      <c r="C27" s="16"/>
      <c r="D27" s="16"/>
      <c r="E27" s="16"/>
      <c r="F27" s="16"/>
      <c r="G27" s="16"/>
      <c r="H27" s="16"/>
    </row>
    <row r="28" spans="1:8" ht="30" customHeight="1" x14ac:dyDescent="0.2">
      <c r="A28" s="17" t="s">
        <v>826</v>
      </c>
      <c r="B28" s="17" t="s">
        <v>827</v>
      </c>
      <c r="C28" s="18" t="s">
        <v>828</v>
      </c>
      <c r="D28" s="19" t="s">
        <v>829</v>
      </c>
      <c r="E28" s="20">
        <v>2</v>
      </c>
      <c r="F28" s="21" t="s">
        <v>181</v>
      </c>
      <c r="G28" s="19"/>
      <c r="H28" s="19"/>
    </row>
    <row r="29" spans="1:8" ht="30" customHeight="1" x14ac:dyDescent="0.2">
      <c r="A29" s="24" t="s">
        <v>826</v>
      </c>
      <c r="B29" s="24" t="s">
        <v>827</v>
      </c>
      <c r="C29" s="25" t="s">
        <v>830</v>
      </c>
      <c r="D29" s="26" t="s">
        <v>831</v>
      </c>
      <c r="E29" s="30">
        <v>3</v>
      </c>
      <c r="F29" s="21" t="s">
        <v>181</v>
      </c>
      <c r="G29" s="26"/>
      <c r="H29" s="26"/>
    </row>
    <row r="30" spans="1:8" ht="18" customHeight="1" x14ac:dyDescent="0.2">
      <c r="A30" s="16" t="s">
        <v>832</v>
      </c>
      <c r="B30" s="16" t="s">
        <v>833</v>
      </c>
      <c r="C30" s="16"/>
      <c r="D30" s="16"/>
      <c r="E30" s="16"/>
      <c r="F30" s="16"/>
      <c r="G30" s="16"/>
      <c r="H30" s="16"/>
    </row>
    <row r="31" spans="1:8" ht="30" customHeight="1" x14ac:dyDescent="0.2">
      <c r="A31" s="17" t="s">
        <v>832</v>
      </c>
      <c r="B31" s="17" t="s">
        <v>833</v>
      </c>
      <c r="C31" s="18" t="s">
        <v>834</v>
      </c>
      <c r="D31" s="19" t="s">
        <v>835</v>
      </c>
      <c r="E31" s="30">
        <v>3</v>
      </c>
      <c r="F31" s="21" t="s">
        <v>181</v>
      </c>
      <c r="G31" s="19"/>
      <c r="H31" s="19"/>
    </row>
    <row r="32" spans="1:8" ht="30" customHeight="1" x14ac:dyDescent="0.2">
      <c r="A32" s="24" t="s">
        <v>832</v>
      </c>
      <c r="B32" s="24" t="s">
        <v>833</v>
      </c>
      <c r="C32" s="25" t="s">
        <v>836</v>
      </c>
      <c r="D32" s="26" t="s">
        <v>837</v>
      </c>
      <c r="E32" s="30">
        <v>3</v>
      </c>
      <c r="F32" s="21" t="s">
        <v>181</v>
      </c>
      <c r="G32" s="26"/>
      <c r="H32" s="26"/>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73" zoomScaleNormal="73"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5" t="s">
        <v>33</v>
      </c>
      <c r="B1" s="15" t="s">
        <v>34</v>
      </c>
      <c r="C1" s="15" t="s">
        <v>35</v>
      </c>
      <c r="D1" s="15" t="s">
        <v>36</v>
      </c>
      <c r="E1" s="15" t="s">
        <v>37</v>
      </c>
      <c r="F1" s="15" t="s">
        <v>38</v>
      </c>
      <c r="G1" s="15" t="s">
        <v>39</v>
      </c>
      <c r="H1" s="15" t="s">
        <v>40</v>
      </c>
    </row>
    <row r="2" spans="1:8" ht="18" customHeight="1" x14ac:dyDescent="0.2">
      <c r="A2" s="16" t="s">
        <v>838</v>
      </c>
      <c r="B2" s="16" t="s">
        <v>839</v>
      </c>
      <c r="C2" s="16"/>
      <c r="D2" s="16"/>
      <c r="E2" s="16"/>
      <c r="F2" s="16"/>
      <c r="G2" s="16"/>
      <c r="H2" s="16"/>
    </row>
    <row r="3" spans="1:8" ht="30" customHeight="1" x14ac:dyDescent="0.2">
      <c r="A3" s="17" t="s">
        <v>838</v>
      </c>
      <c r="B3" s="17" t="s">
        <v>839</v>
      </c>
      <c r="C3" s="18" t="s">
        <v>840</v>
      </c>
      <c r="D3" s="19" t="s">
        <v>841</v>
      </c>
      <c r="E3" s="29">
        <v>1</v>
      </c>
      <c r="F3" s="21" t="s">
        <v>181</v>
      </c>
      <c r="G3" s="19"/>
      <c r="H3" s="19"/>
    </row>
    <row r="4" spans="1:8" ht="30" customHeight="1" x14ac:dyDescent="0.2">
      <c r="A4" s="24" t="s">
        <v>838</v>
      </c>
      <c r="B4" s="24" t="s">
        <v>839</v>
      </c>
      <c r="C4" s="25" t="s">
        <v>842</v>
      </c>
      <c r="D4" s="26" t="s">
        <v>843</v>
      </c>
      <c r="E4" s="20">
        <v>2</v>
      </c>
      <c r="F4" s="21" t="s">
        <v>181</v>
      </c>
      <c r="G4" s="26"/>
      <c r="H4" s="26"/>
    </row>
    <row r="5" spans="1:8" ht="30" customHeight="1" x14ac:dyDescent="0.2">
      <c r="A5" s="17" t="s">
        <v>838</v>
      </c>
      <c r="B5" s="17" t="s">
        <v>839</v>
      </c>
      <c r="C5" s="18" t="s">
        <v>844</v>
      </c>
      <c r="D5" s="19" t="s">
        <v>845</v>
      </c>
      <c r="E5" s="20">
        <v>2</v>
      </c>
      <c r="F5" s="21" t="s">
        <v>181</v>
      </c>
      <c r="G5" s="19"/>
      <c r="H5" s="19"/>
    </row>
    <row r="6" spans="1:8" ht="30" customHeight="1" x14ac:dyDescent="0.2">
      <c r="A6" s="24" t="s">
        <v>838</v>
      </c>
      <c r="B6" s="24" t="s">
        <v>839</v>
      </c>
      <c r="C6" s="25" t="s">
        <v>846</v>
      </c>
      <c r="D6" s="26" t="s">
        <v>847</v>
      </c>
      <c r="E6" s="30">
        <v>3</v>
      </c>
      <c r="F6" s="21" t="s">
        <v>181</v>
      </c>
      <c r="G6" s="26"/>
      <c r="H6" s="26"/>
    </row>
    <row r="7" spans="1:8" ht="30" customHeight="1" x14ac:dyDescent="0.2">
      <c r="A7" s="17" t="s">
        <v>838</v>
      </c>
      <c r="B7" s="17" t="s">
        <v>839</v>
      </c>
      <c r="C7" s="18" t="s">
        <v>848</v>
      </c>
      <c r="D7" s="19" t="s">
        <v>849</v>
      </c>
      <c r="E7" s="30">
        <v>3</v>
      </c>
      <c r="F7" s="21" t="s">
        <v>181</v>
      </c>
      <c r="G7" s="19"/>
      <c r="H7" s="19"/>
    </row>
    <row r="8" spans="1:8" ht="18" customHeight="1" x14ac:dyDescent="0.2">
      <c r="A8" s="16" t="s">
        <v>850</v>
      </c>
      <c r="B8" s="16" t="s">
        <v>851</v>
      </c>
      <c r="C8" s="16"/>
      <c r="D8" s="16"/>
      <c r="E8" s="16"/>
      <c r="F8" s="16"/>
      <c r="G8" s="16"/>
      <c r="H8" s="16"/>
    </row>
    <row r="9" spans="1:8" ht="30" customHeight="1" x14ac:dyDescent="0.2">
      <c r="A9" s="17" t="s">
        <v>850</v>
      </c>
      <c r="B9" s="17" t="s">
        <v>851</v>
      </c>
      <c r="C9" s="18" t="s">
        <v>852</v>
      </c>
      <c r="D9" s="19" t="s">
        <v>853</v>
      </c>
      <c r="E9" s="29">
        <v>1</v>
      </c>
      <c r="F9" s="21" t="s">
        <v>181</v>
      </c>
      <c r="G9" s="19"/>
      <c r="H9" s="19"/>
    </row>
    <row r="10" spans="1:8" ht="30" customHeight="1" x14ac:dyDescent="0.2">
      <c r="A10" s="24" t="s">
        <v>850</v>
      </c>
      <c r="B10" s="24" t="s">
        <v>851</v>
      </c>
      <c r="C10" s="25" t="s">
        <v>854</v>
      </c>
      <c r="D10" s="26" t="s">
        <v>855</v>
      </c>
      <c r="E10" s="29">
        <v>1</v>
      </c>
      <c r="F10" s="21" t="s">
        <v>181</v>
      </c>
      <c r="G10" s="26"/>
      <c r="H10" s="26"/>
    </row>
    <row r="11" spans="1:8" ht="18" customHeight="1" x14ac:dyDescent="0.2">
      <c r="A11" s="16" t="s">
        <v>856</v>
      </c>
      <c r="B11" s="16" t="s">
        <v>857</v>
      </c>
      <c r="C11" s="16"/>
      <c r="D11" s="16"/>
      <c r="E11" s="16"/>
      <c r="F11" s="16"/>
      <c r="G11" s="16"/>
      <c r="H11" s="16"/>
    </row>
    <row r="12" spans="1:8" ht="30" customHeight="1" x14ac:dyDescent="0.2">
      <c r="A12" s="17" t="s">
        <v>856</v>
      </c>
      <c r="B12" s="17" t="s">
        <v>857</v>
      </c>
      <c r="C12" s="18" t="s">
        <v>858</v>
      </c>
      <c r="D12" s="19" t="s">
        <v>859</v>
      </c>
      <c r="E12" s="20">
        <v>2</v>
      </c>
      <c r="F12" s="21" t="s">
        <v>181</v>
      </c>
      <c r="G12" s="19"/>
      <c r="H12" s="19"/>
    </row>
    <row r="13" spans="1:8" ht="30" customHeight="1" x14ac:dyDescent="0.2">
      <c r="A13" s="24" t="s">
        <v>856</v>
      </c>
      <c r="B13" s="24" t="s">
        <v>857</v>
      </c>
      <c r="C13" s="25" t="s">
        <v>860</v>
      </c>
      <c r="D13" s="26" t="s">
        <v>861</v>
      </c>
      <c r="E13" s="20">
        <v>2</v>
      </c>
      <c r="F13" s="21" t="s">
        <v>181</v>
      </c>
      <c r="G13" s="26"/>
      <c r="H13" s="26"/>
    </row>
    <row r="14" spans="1:8" ht="30" customHeight="1" x14ac:dyDescent="0.2">
      <c r="A14" s="17" t="s">
        <v>856</v>
      </c>
      <c r="B14" s="17" t="s">
        <v>857</v>
      </c>
      <c r="C14" s="18" t="s">
        <v>862</v>
      </c>
      <c r="D14" s="19" t="s">
        <v>863</v>
      </c>
      <c r="E14" s="20">
        <v>2</v>
      </c>
      <c r="F14" s="21" t="s">
        <v>181</v>
      </c>
      <c r="G14" s="19"/>
      <c r="H14" s="19"/>
    </row>
    <row r="15" spans="1:8" ht="30" customHeight="1" x14ac:dyDescent="0.2">
      <c r="A15" s="24" t="s">
        <v>856</v>
      </c>
      <c r="B15" s="24" t="s">
        <v>857</v>
      </c>
      <c r="C15" s="25" t="s">
        <v>864</v>
      </c>
      <c r="D15" s="26" t="s">
        <v>865</v>
      </c>
      <c r="E15" s="20">
        <v>2</v>
      </c>
      <c r="F15" s="21" t="s">
        <v>181</v>
      </c>
      <c r="G15" s="26"/>
      <c r="H15" s="26"/>
    </row>
    <row r="16" spans="1:8" ht="30" customHeight="1" x14ac:dyDescent="0.2">
      <c r="A16" s="17" t="s">
        <v>856</v>
      </c>
      <c r="B16" s="17" t="s">
        <v>857</v>
      </c>
      <c r="C16" s="18" t="s">
        <v>866</v>
      </c>
      <c r="D16" s="19" t="s">
        <v>867</v>
      </c>
      <c r="E16" s="30">
        <v>3</v>
      </c>
      <c r="F16" s="21" t="s">
        <v>181</v>
      </c>
      <c r="G16" s="19"/>
      <c r="H16" s="19"/>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3" zoomScaleNormal="73"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5" t="s">
        <v>33</v>
      </c>
      <c r="B1" s="15" t="s">
        <v>34</v>
      </c>
      <c r="C1" s="15" t="s">
        <v>35</v>
      </c>
      <c r="D1" s="15" t="s">
        <v>36</v>
      </c>
      <c r="E1" s="15" t="s">
        <v>37</v>
      </c>
      <c r="F1" s="15" t="s">
        <v>38</v>
      </c>
      <c r="G1" s="15" t="s">
        <v>39</v>
      </c>
      <c r="H1" s="15" t="s">
        <v>40</v>
      </c>
    </row>
    <row r="2" spans="1:8" ht="18" customHeight="1" x14ac:dyDescent="0.2">
      <c r="A2" s="16" t="s">
        <v>868</v>
      </c>
      <c r="B2" s="16" t="s">
        <v>869</v>
      </c>
      <c r="C2" s="16"/>
      <c r="D2" s="16"/>
      <c r="E2" s="16"/>
      <c r="F2" s="16"/>
      <c r="G2" s="16"/>
      <c r="H2" s="16"/>
    </row>
    <row r="3" spans="1:8" ht="30" customHeight="1" x14ac:dyDescent="0.2">
      <c r="A3" s="17" t="s">
        <v>868</v>
      </c>
      <c r="B3" s="17" t="s">
        <v>869</v>
      </c>
      <c r="C3" s="18" t="s">
        <v>870</v>
      </c>
      <c r="D3" s="19" t="s">
        <v>871</v>
      </c>
      <c r="E3" s="20">
        <v>2</v>
      </c>
      <c r="F3" s="21" t="s">
        <v>181</v>
      </c>
      <c r="G3" s="19"/>
      <c r="H3" s="19"/>
    </row>
    <row r="4" spans="1:8" ht="30" customHeight="1" x14ac:dyDescent="0.2">
      <c r="A4" s="24" t="s">
        <v>868</v>
      </c>
      <c r="B4" s="24" t="s">
        <v>869</v>
      </c>
      <c r="C4" s="25" t="s">
        <v>872</v>
      </c>
      <c r="D4" s="26" t="s">
        <v>873</v>
      </c>
      <c r="E4" s="30">
        <v>3</v>
      </c>
      <c r="F4" s="21" t="s">
        <v>181</v>
      </c>
      <c r="G4" s="26"/>
      <c r="H4" s="26"/>
    </row>
    <row r="5" spans="1:8" ht="30" customHeight="1" x14ac:dyDescent="0.2">
      <c r="A5" s="17" t="s">
        <v>868</v>
      </c>
      <c r="B5" s="17" t="s">
        <v>869</v>
      </c>
      <c r="C5" s="18" t="s">
        <v>874</v>
      </c>
      <c r="D5" s="19" t="s">
        <v>875</v>
      </c>
      <c r="E5" s="30">
        <v>3</v>
      </c>
      <c r="F5" s="21" t="s">
        <v>181</v>
      </c>
      <c r="G5" s="19"/>
      <c r="H5" s="19"/>
    </row>
    <row r="6" spans="1:8" ht="30" customHeight="1" x14ac:dyDescent="0.2">
      <c r="A6" s="24" t="s">
        <v>868</v>
      </c>
      <c r="B6" s="24" t="s">
        <v>869</v>
      </c>
      <c r="C6" s="25" t="s">
        <v>876</v>
      </c>
      <c r="D6" s="26" t="s">
        <v>877</v>
      </c>
      <c r="E6" s="30">
        <v>3</v>
      </c>
      <c r="F6" s="21" t="s">
        <v>181</v>
      </c>
      <c r="G6" s="26"/>
      <c r="H6" s="26"/>
    </row>
    <row r="7" spans="1:8" ht="18" customHeight="1" x14ac:dyDescent="0.2">
      <c r="A7" s="16" t="s">
        <v>878</v>
      </c>
      <c r="B7" s="16" t="s">
        <v>879</v>
      </c>
      <c r="C7" s="16"/>
      <c r="D7" s="16"/>
      <c r="E7" s="16"/>
      <c r="F7" s="16"/>
      <c r="G7" s="16"/>
      <c r="H7" s="16"/>
    </row>
    <row r="8" spans="1:8" ht="30" customHeight="1" x14ac:dyDescent="0.2">
      <c r="A8" s="17" t="s">
        <v>878</v>
      </c>
      <c r="B8" s="17" t="s">
        <v>879</v>
      </c>
      <c r="C8" s="18" t="s">
        <v>880</v>
      </c>
      <c r="D8" s="19" t="s">
        <v>881</v>
      </c>
      <c r="E8" s="20">
        <v>2</v>
      </c>
      <c r="F8" s="21" t="s">
        <v>181</v>
      </c>
      <c r="G8" s="19"/>
      <c r="H8" s="19"/>
    </row>
    <row r="9" spans="1:8" ht="30" customHeight="1" x14ac:dyDescent="0.2">
      <c r="A9" s="24" t="s">
        <v>878</v>
      </c>
      <c r="B9" s="24" t="s">
        <v>879</v>
      </c>
      <c r="C9" s="25" t="s">
        <v>882</v>
      </c>
      <c r="D9" s="26" t="s">
        <v>883</v>
      </c>
      <c r="E9" s="20">
        <v>2</v>
      </c>
      <c r="F9" s="21" t="s">
        <v>181</v>
      </c>
      <c r="G9" s="26"/>
      <c r="H9" s="26"/>
    </row>
    <row r="10" spans="1:8" ht="30" customHeight="1" x14ac:dyDescent="0.2">
      <c r="A10" s="17" t="s">
        <v>878</v>
      </c>
      <c r="B10" s="17" t="s">
        <v>879</v>
      </c>
      <c r="C10" s="18" t="s">
        <v>884</v>
      </c>
      <c r="D10" s="19" t="s">
        <v>885</v>
      </c>
      <c r="E10" s="20">
        <v>2</v>
      </c>
      <c r="F10" s="21" t="s">
        <v>181</v>
      </c>
      <c r="G10" s="19"/>
      <c r="H10" s="19"/>
    </row>
    <row r="11" spans="1:8" ht="30" customHeight="1" x14ac:dyDescent="0.2">
      <c r="A11" s="24" t="s">
        <v>878</v>
      </c>
      <c r="B11" s="24" t="s">
        <v>879</v>
      </c>
      <c r="C11" s="25" t="s">
        <v>886</v>
      </c>
      <c r="D11" s="26" t="s">
        <v>887</v>
      </c>
      <c r="E11" s="20">
        <v>2</v>
      </c>
      <c r="F11" s="21" t="s">
        <v>181</v>
      </c>
      <c r="G11" s="26"/>
      <c r="H11" s="26"/>
    </row>
    <row r="12" spans="1:8" ht="30" customHeight="1" x14ac:dyDescent="0.2">
      <c r="A12" s="17" t="s">
        <v>878</v>
      </c>
      <c r="B12" s="17" t="s">
        <v>879</v>
      </c>
      <c r="C12" s="18" t="s">
        <v>888</v>
      </c>
      <c r="D12" s="19" t="s">
        <v>889</v>
      </c>
      <c r="E12" s="20">
        <v>2</v>
      </c>
      <c r="F12" s="21" t="s">
        <v>181</v>
      </c>
      <c r="G12" s="19"/>
      <c r="H12" s="19"/>
    </row>
    <row r="13" spans="1:8" ht="30" customHeight="1" x14ac:dyDescent="0.2">
      <c r="A13" s="24" t="s">
        <v>878</v>
      </c>
      <c r="B13" s="24" t="s">
        <v>879</v>
      </c>
      <c r="C13" s="25" t="s">
        <v>890</v>
      </c>
      <c r="D13" s="26" t="s">
        <v>891</v>
      </c>
      <c r="E13" s="30">
        <v>3</v>
      </c>
      <c r="F13" s="21" t="s">
        <v>181</v>
      </c>
      <c r="G13" s="26"/>
      <c r="H13" s="26"/>
    </row>
    <row r="14" spans="1:8" ht="18" customHeight="1" x14ac:dyDescent="0.2">
      <c r="A14" s="16" t="s">
        <v>892</v>
      </c>
      <c r="B14" s="16" t="s">
        <v>893</v>
      </c>
      <c r="C14" s="16"/>
      <c r="D14" s="16"/>
      <c r="E14" s="16"/>
      <c r="F14" s="16"/>
      <c r="G14" s="16"/>
      <c r="H14" s="16"/>
    </row>
    <row r="15" spans="1:8" ht="30" customHeight="1" x14ac:dyDescent="0.2">
      <c r="A15" s="17" t="s">
        <v>892</v>
      </c>
      <c r="B15" s="17" t="s">
        <v>893</v>
      </c>
      <c r="C15" s="18" t="s">
        <v>894</v>
      </c>
      <c r="D15" s="19" t="s">
        <v>895</v>
      </c>
      <c r="E15" s="20">
        <v>2</v>
      </c>
      <c r="F15" s="21" t="s">
        <v>181</v>
      </c>
      <c r="G15" s="19"/>
      <c r="H15" s="19"/>
    </row>
    <row r="16" spans="1:8" ht="30" customHeight="1" x14ac:dyDescent="0.2">
      <c r="A16" s="24" t="s">
        <v>892</v>
      </c>
      <c r="B16" s="24" t="s">
        <v>893</v>
      </c>
      <c r="C16" s="25" t="s">
        <v>896</v>
      </c>
      <c r="D16" s="26" t="s">
        <v>897</v>
      </c>
      <c r="E16" s="20">
        <v>2</v>
      </c>
      <c r="F16" s="21" t="s">
        <v>181</v>
      </c>
      <c r="G16" s="26"/>
      <c r="H16" s="26"/>
    </row>
    <row r="17" spans="1:8" ht="30" customHeight="1" x14ac:dyDescent="0.2">
      <c r="A17" s="17" t="s">
        <v>892</v>
      </c>
      <c r="B17" s="17" t="s">
        <v>893</v>
      </c>
      <c r="C17" s="18" t="s">
        <v>898</v>
      </c>
      <c r="D17" s="19" t="s">
        <v>899</v>
      </c>
      <c r="E17" s="30">
        <v>3</v>
      </c>
      <c r="F17" s="21" t="s">
        <v>181</v>
      </c>
      <c r="G17" s="19"/>
      <c r="H17" s="19"/>
    </row>
    <row r="18" spans="1:8" ht="30" customHeight="1" x14ac:dyDescent="0.2">
      <c r="A18" s="24" t="s">
        <v>892</v>
      </c>
      <c r="B18" s="24" t="s">
        <v>893</v>
      </c>
      <c r="C18" s="25" t="s">
        <v>900</v>
      </c>
      <c r="D18" s="26" t="s">
        <v>901</v>
      </c>
      <c r="E18" s="30">
        <v>3</v>
      </c>
      <c r="F18" s="21" t="s">
        <v>181</v>
      </c>
      <c r="G18" s="26"/>
      <c r="H18" s="26"/>
    </row>
    <row r="19" spans="1:8" ht="18" customHeight="1" x14ac:dyDescent="0.2">
      <c r="A19" s="16" t="s">
        <v>902</v>
      </c>
      <c r="B19" s="16" t="s">
        <v>903</v>
      </c>
      <c r="C19" s="16"/>
      <c r="D19" s="16"/>
      <c r="E19" s="16"/>
      <c r="F19" s="16"/>
      <c r="G19" s="16"/>
      <c r="H19" s="16"/>
    </row>
    <row r="20" spans="1:8" ht="30" customHeight="1" x14ac:dyDescent="0.2">
      <c r="A20" s="17" t="s">
        <v>902</v>
      </c>
      <c r="B20" s="17" t="s">
        <v>903</v>
      </c>
      <c r="C20" s="18" t="s">
        <v>904</v>
      </c>
      <c r="D20" s="19" t="s">
        <v>905</v>
      </c>
      <c r="E20" s="29">
        <v>1</v>
      </c>
      <c r="F20" s="21" t="s">
        <v>181</v>
      </c>
      <c r="G20" s="19"/>
      <c r="H20" s="19"/>
    </row>
    <row r="21" spans="1:8" ht="30" customHeight="1" x14ac:dyDescent="0.2">
      <c r="A21" s="24" t="s">
        <v>902</v>
      </c>
      <c r="B21" s="24" t="s">
        <v>903</v>
      </c>
      <c r="C21" s="25" t="s">
        <v>906</v>
      </c>
      <c r="D21" s="26" t="s">
        <v>907</v>
      </c>
      <c r="E21" s="20">
        <v>2</v>
      </c>
      <c r="F21" s="21" t="s">
        <v>181</v>
      </c>
      <c r="G21" s="26"/>
      <c r="H21" s="26"/>
    </row>
    <row r="22" spans="1:8" ht="30" customHeight="1" x14ac:dyDescent="0.2">
      <c r="A22" s="17" t="s">
        <v>902</v>
      </c>
      <c r="B22" s="17" t="s">
        <v>903</v>
      </c>
      <c r="C22" s="18" t="s">
        <v>908</v>
      </c>
      <c r="D22" s="19" t="s">
        <v>909</v>
      </c>
      <c r="E22" s="20">
        <v>2</v>
      </c>
      <c r="F22" s="21" t="s">
        <v>181</v>
      </c>
      <c r="G22" s="19"/>
      <c r="H22" s="19"/>
    </row>
    <row r="23" spans="1:8" ht="30" customHeight="1" x14ac:dyDescent="0.2">
      <c r="A23" s="24" t="s">
        <v>902</v>
      </c>
      <c r="B23" s="24" t="s">
        <v>903</v>
      </c>
      <c r="C23" s="25" t="s">
        <v>910</v>
      </c>
      <c r="D23" s="26" t="s">
        <v>911</v>
      </c>
      <c r="E23" s="20">
        <v>2</v>
      </c>
      <c r="F23" s="21" t="s">
        <v>181</v>
      </c>
      <c r="G23" s="26"/>
      <c r="H23" s="26"/>
    </row>
    <row r="24" spans="1:8" ht="30" customHeight="1" x14ac:dyDescent="0.2">
      <c r="A24" s="17" t="s">
        <v>902</v>
      </c>
      <c r="B24" s="17" t="s">
        <v>903</v>
      </c>
      <c r="C24" s="18" t="s">
        <v>912</v>
      </c>
      <c r="D24" s="19" t="s">
        <v>913</v>
      </c>
      <c r="E24" s="20">
        <v>2</v>
      </c>
      <c r="F24" s="21" t="s">
        <v>181</v>
      </c>
      <c r="G24" s="19"/>
      <c r="H24" s="19"/>
    </row>
    <row r="25" spans="1:8" ht="30" customHeight="1" x14ac:dyDescent="0.2">
      <c r="A25" s="24" t="s">
        <v>902</v>
      </c>
      <c r="B25" s="24" t="s">
        <v>903</v>
      </c>
      <c r="C25" s="25" t="s">
        <v>914</v>
      </c>
      <c r="D25" s="26" t="s">
        <v>915</v>
      </c>
      <c r="E25" s="30">
        <v>3</v>
      </c>
      <c r="F25" s="21" t="s">
        <v>181</v>
      </c>
      <c r="G25" s="26"/>
      <c r="H25" s="26"/>
    </row>
    <row r="26" spans="1:8" ht="30" customHeight="1" x14ac:dyDescent="0.2">
      <c r="A26" s="17" t="s">
        <v>902</v>
      </c>
      <c r="B26" s="17" t="s">
        <v>903</v>
      </c>
      <c r="C26" s="18" t="s">
        <v>916</v>
      </c>
      <c r="D26" s="19" t="s">
        <v>917</v>
      </c>
      <c r="E26" s="30">
        <v>3</v>
      </c>
      <c r="F26" s="21" t="s">
        <v>181</v>
      </c>
      <c r="G26" s="19"/>
      <c r="H26" s="19"/>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73" zoomScaleNormal="73"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5" t="s">
        <v>33</v>
      </c>
      <c r="B1" s="15" t="s">
        <v>34</v>
      </c>
      <c r="C1" s="15" t="s">
        <v>35</v>
      </c>
      <c r="D1" s="15" t="s">
        <v>36</v>
      </c>
      <c r="E1" s="15" t="s">
        <v>37</v>
      </c>
      <c r="F1" s="15" t="s">
        <v>38</v>
      </c>
      <c r="G1" s="15" t="s">
        <v>39</v>
      </c>
      <c r="H1" s="15" t="s">
        <v>40</v>
      </c>
    </row>
    <row r="2" spans="1:8" ht="18" customHeight="1" x14ac:dyDescent="0.2">
      <c r="A2" s="16" t="s">
        <v>918</v>
      </c>
      <c r="B2" s="16" t="s">
        <v>919</v>
      </c>
      <c r="C2" s="16"/>
      <c r="D2" s="16"/>
      <c r="E2" s="16"/>
      <c r="F2" s="16"/>
      <c r="G2" s="16"/>
      <c r="H2" s="16"/>
    </row>
    <row r="3" spans="1:8" ht="30" customHeight="1" x14ac:dyDescent="0.2">
      <c r="A3" s="17" t="s">
        <v>918</v>
      </c>
      <c r="B3" s="17" t="s">
        <v>919</v>
      </c>
      <c r="C3" s="18" t="s">
        <v>920</v>
      </c>
      <c r="D3" s="19" t="s">
        <v>921</v>
      </c>
      <c r="E3" s="20">
        <v>2</v>
      </c>
      <c r="F3" s="21" t="s">
        <v>181</v>
      </c>
      <c r="G3" s="19"/>
      <c r="H3" s="19"/>
    </row>
    <row r="4" spans="1:8" ht="30" customHeight="1" x14ac:dyDescent="0.2">
      <c r="A4" s="24" t="s">
        <v>918</v>
      </c>
      <c r="B4" s="24" t="s">
        <v>919</v>
      </c>
      <c r="C4" s="25" t="s">
        <v>922</v>
      </c>
      <c r="D4" s="26" t="s">
        <v>923</v>
      </c>
      <c r="E4" s="20">
        <v>2</v>
      </c>
      <c r="F4" s="21" t="s">
        <v>181</v>
      </c>
      <c r="G4" s="26"/>
      <c r="H4" s="26"/>
    </row>
    <row r="5" spans="1:8" ht="18" customHeight="1" x14ac:dyDescent="0.2">
      <c r="A5" s="16" t="s">
        <v>924</v>
      </c>
      <c r="B5" s="16" t="s">
        <v>925</v>
      </c>
      <c r="C5" s="16"/>
      <c r="D5" s="16"/>
      <c r="E5" s="16"/>
      <c r="F5" s="16"/>
      <c r="G5" s="16"/>
      <c r="H5" s="16"/>
    </row>
    <row r="6" spans="1:8" ht="30" customHeight="1" x14ac:dyDescent="0.2">
      <c r="A6" s="17" t="s">
        <v>924</v>
      </c>
      <c r="B6" s="17" t="s">
        <v>925</v>
      </c>
      <c r="C6" s="18" t="s">
        <v>926</v>
      </c>
      <c r="D6" s="19" t="s">
        <v>927</v>
      </c>
      <c r="E6" s="29">
        <v>1</v>
      </c>
      <c r="F6" s="21" t="s">
        <v>181</v>
      </c>
      <c r="G6" s="19"/>
      <c r="H6" s="19"/>
    </row>
    <row r="7" spans="1:8" ht="30" customHeight="1" x14ac:dyDescent="0.2">
      <c r="A7" s="24" t="s">
        <v>924</v>
      </c>
      <c r="B7" s="24" t="s">
        <v>925</v>
      </c>
      <c r="C7" s="25" t="s">
        <v>928</v>
      </c>
      <c r="D7" s="26" t="s">
        <v>929</v>
      </c>
      <c r="E7" s="20">
        <v>2</v>
      </c>
      <c r="F7" s="21" t="s">
        <v>181</v>
      </c>
      <c r="G7" s="26"/>
      <c r="H7" s="26"/>
    </row>
    <row r="8" spans="1:8" ht="30" customHeight="1" x14ac:dyDescent="0.2">
      <c r="A8" s="17" t="s">
        <v>924</v>
      </c>
      <c r="B8" s="17" t="s">
        <v>925</v>
      </c>
      <c r="C8" s="18" t="s">
        <v>930</v>
      </c>
      <c r="D8" s="19" t="s">
        <v>931</v>
      </c>
      <c r="E8" s="20">
        <v>2</v>
      </c>
      <c r="F8" s="21" t="s">
        <v>181</v>
      </c>
      <c r="G8" s="19"/>
      <c r="H8" s="19"/>
    </row>
    <row r="9" spans="1:8" ht="30" customHeight="1" x14ac:dyDescent="0.2">
      <c r="A9" s="24" t="s">
        <v>924</v>
      </c>
      <c r="B9" s="24" t="s">
        <v>925</v>
      </c>
      <c r="C9" s="25" t="s">
        <v>932</v>
      </c>
      <c r="D9" s="26" t="s">
        <v>933</v>
      </c>
      <c r="E9" s="20">
        <v>2</v>
      </c>
      <c r="F9" s="21" t="s">
        <v>181</v>
      </c>
      <c r="G9" s="26"/>
      <c r="H9" s="26"/>
    </row>
    <row r="10" spans="1:8" ht="30" customHeight="1" x14ac:dyDescent="0.2">
      <c r="A10" s="17" t="s">
        <v>924</v>
      </c>
      <c r="B10" s="17" t="s">
        <v>925</v>
      </c>
      <c r="C10" s="18" t="s">
        <v>934</v>
      </c>
      <c r="D10" s="19" t="s">
        <v>935</v>
      </c>
      <c r="E10" s="30">
        <v>3</v>
      </c>
      <c r="F10" s="21" t="s">
        <v>181</v>
      </c>
      <c r="G10" s="19"/>
      <c r="H10" s="19"/>
    </row>
    <row r="11" spans="1:8" ht="30" customHeight="1" x14ac:dyDescent="0.2">
      <c r="A11" s="24" t="s">
        <v>924</v>
      </c>
      <c r="B11" s="24" t="s">
        <v>925</v>
      </c>
      <c r="C11" s="25" t="s">
        <v>936</v>
      </c>
      <c r="D11" s="26" t="s">
        <v>937</v>
      </c>
      <c r="E11" s="30">
        <v>3</v>
      </c>
      <c r="F11" s="21" t="s">
        <v>181</v>
      </c>
      <c r="G11" s="26"/>
      <c r="H11" s="26"/>
    </row>
    <row r="12" spans="1:8" ht="30" customHeight="1" x14ac:dyDescent="0.2">
      <c r="A12" s="17" t="s">
        <v>924</v>
      </c>
      <c r="B12" s="17" t="s">
        <v>925</v>
      </c>
      <c r="C12" s="18" t="s">
        <v>938</v>
      </c>
      <c r="D12" s="19" t="s">
        <v>939</v>
      </c>
      <c r="E12" s="30">
        <v>3</v>
      </c>
      <c r="F12" s="21" t="s">
        <v>181</v>
      </c>
      <c r="G12" s="19"/>
      <c r="H12" s="19"/>
    </row>
    <row r="13" spans="1:8" ht="30" customHeight="1" x14ac:dyDescent="0.2">
      <c r="A13" s="24" t="s">
        <v>924</v>
      </c>
      <c r="B13" s="24" t="s">
        <v>925</v>
      </c>
      <c r="C13" s="25" t="s">
        <v>940</v>
      </c>
      <c r="D13" s="26" t="s">
        <v>941</v>
      </c>
      <c r="E13" s="30">
        <v>3</v>
      </c>
      <c r="F13" s="21" t="s">
        <v>181</v>
      </c>
      <c r="G13" s="26"/>
      <c r="H13" s="26"/>
    </row>
    <row r="14" spans="1:8" ht="18" customHeight="1" x14ac:dyDescent="0.2">
      <c r="A14" s="16" t="s">
        <v>942</v>
      </c>
      <c r="B14" s="16" t="s">
        <v>943</v>
      </c>
      <c r="C14" s="16"/>
      <c r="D14" s="16"/>
      <c r="E14" s="16"/>
      <c r="F14" s="16"/>
      <c r="G14" s="16"/>
      <c r="H14" s="16"/>
    </row>
    <row r="15" spans="1:8" ht="30" customHeight="1" x14ac:dyDescent="0.2">
      <c r="A15" s="17" t="s">
        <v>942</v>
      </c>
      <c r="B15" s="17" t="s">
        <v>943</v>
      </c>
      <c r="C15" s="18" t="s">
        <v>944</v>
      </c>
      <c r="D15" s="19" t="s">
        <v>945</v>
      </c>
      <c r="E15" s="29">
        <v>1</v>
      </c>
      <c r="F15" s="21" t="s">
        <v>181</v>
      </c>
      <c r="G15" s="19"/>
      <c r="H15" s="19"/>
    </row>
    <row r="16" spans="1:8" ht="30" customHeight="1" x14ac:dyDescent="0.2">
      <c r="A16" s="24" t="s">
        <v>942</v>
      </c>
      <c r="B16" s="24" t="s">
        <v>943</v>
      </c>
      <c r="C16" s="25" t="s">
        <v>946</v>
      </c>
      <c r="D16" s="26" t="s">
        <v>947</v>
      </c>
      <c r="E16" s="20">
        <v>2</v>
      </c>
      <c r="F16" s="21" t="s">
        <v>181</v>
      </c>
      <c r="G16" s="26"/>
      <c r="H16" s="26"/>
    </row>
    <row r="17" spans="1:8" ht="30" customHeight="1" x14ac:dyDescent="0.2">
      <c r="A17" s="17" t="s">
        <v>942</v>
      </c>
      <c r="B17" s="17" t="s">
        <v>943</v>
      </c>
      <c r="C17" s="18" t="s">
        <v>948</v>
      </c>
      <c r="D17" s="19" t="s">
        <v>949</v>
      </c>
      <c r="E17" s="20">
        <v>2</v>
      </c>
      <c r="F17" s="21" t="s">
        <v>181</v>
      </c>
      <c r="G17" s="19"/>
      <c r="H17" s="19"/>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3" zoomScaleNormal="73"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5" t="s">
        <v>33</v>
      </c>
      <c r="B1" s="15" t="s">
        <v>34</v>
      </c>
      <c r="C1" s="15" t="s">
        <v>35</v>
      </c>
      <c r="D1" s="15" t="s">
        <v>36</v>
      </c>
      <c r="E1" s="15" t="s">
        <v>37</v>
      </c>
      <c r="F1" s="15" t="s">
        <v>38</v>
      </c>
      <c r="G1" s="15" t="s">
        <v>39</v>
      </c>
      <c r="H1" s="15" t="s">
        <v>40</v>
      </c>
    </row>
    <row r="2" spans="1:8" ht="18" customHeight="1" x14ac:dyDescent="0.2">
      <c r="A2" s="16" t="s">
        <v>950</v>
      </c>
      <c r="B2" s="16" t="s">
        <v>951</v>
      </c>
      <c r="C2" s="16"/>
      <c r="D2" s="16"/>
      <c r="E2" s="16"/>
      <c r="F2" s="16"/>
      <c r="G2" s="16"/>
      <c r="H2" s="16"/>
    </row>
    <row r="3" spans="1:8" ht="30" customHeight="1" x14ac:dyDescent="0.2">
      <c r="A3" s="17" t="s">
        <v>950</v>
      </c>
      <c r="B3" s="17" t="s">
        <v>951</v>
      </c>
      <c r="C3" s="18" t="s">
        <v>952</v>
      </c>
      <c r="D3" s="19" t="s">
        <v>953</v>
      </c>
      <c r="E3" s="29">
        <v>1</v>
      </c>
      <c r="F3" s="21" t="s">
        <v>181</v>
      </c>
      <c r="G3" s="19"/>
      <c r="H3" s="19"/>
    </row>
    <row r="4" spans="1:8" ht="30" customHeight="1" x14ac:dyDescent="0.2">
      <c r="A4" s="24" t="s">
        <v>950</v>
      </c>
      <c r="B4" s="24" t="s">
        <v>951</v>
      </c>
      <c r="C4" s="25" t="s">
        <v>954</v>
      </c>
      <c r="D4" s="26" t="s">
        <v>955</v>
      </c>
      <c r="E4" s="20">
        <v>2</v>
      </c>
      <c r="F4" s="21" t="s">
        <v>181</v>
      </c>
      <c r="G4" s="26"/>
      <c r="H4" s="26"/>
    </row>
    <row r="5" spans="1:8" ht="30" customHeight="1" x14ac:dyDescent="0.2">
      <c r="A5" s="17" t="s">
        <v>950</v>
      </c>
      <c r="B5" s="17" t="s">
        <v>951</v>
      </c>
      <c r="C5" s="18" t="s">
        <v>956</v>
      </c>
      <c r="D5" s="19" t="s">
        <v>957</v>
      </c>
      <c r="E5" s="20">
        <v>2</v>
      </c>
      <c r="F5" s="21" t="s">
        <v>181</v>
      </c>
      <c r="G5" s="19"/>
      <c r="H5" s="19"/>
    </row>
    <row r="6" spans="1:8" ht="30" customHeight="1" x14ac:dyDescent="0.2">
      <c r="A6" s="24" t="s">
        <v>950</v>
      </c>
      <c r="B6" s="24" t="s">
        <v>951</v>
      </c>
      <c r="C6" s="25" t="s">
        <v>958</v>
      </c>
      <c r="D6" s="26" t="s">
        <v>959</v>
      </c>
      <c r="E6" s="30">
        <v>3</v>
      </c>
      <c r="F6" s="21" t="s">
        <v>181</v>
      </c>
      <c r="G6" s="26"/>
      <c r="H6" s="26"/>
    </row>
    <row r="7" spans="1:8" ht="30" customHeight="1" x14ac:dyDescent="0.2">
      <c r="A7" s="17" t="s">
        <v>950</v>
      </c>
      <c r="B7" s="17" t="s">
        <v>951</v>
      </c>
      <c r="C7" s="18" t="s">
        <v>960</v>
      </c>
      <c r="D7" s="19" t="s">
        <v>961</v>
      </c>
      <c r="E7" s="30">
        <v>3</v>
      </c>
      <c r="F7" s="21" t="s">
        <v>181</v>
      </c>
      <c r="G7" s="19"/>
      <c r="H7" s="19"/>
    </row>
    <row r="8" spans="1:8" ht="18" customHeight="1" x14ac:dyDescent="0.2">
      <c r="A8" s="16" t="s">
        <v>962</v>
      </c>
      <c r="B8" s="16" t="s">
        <v>963</v>
      </c>
      <c r="C8" s="16"/>
      <c r="D8" s="16"/>
      <c r="E8" s="16"/>
      <c r="F8" s="16"/>
      <c r="G8" s="16"/>
      <c r="H8" s="16"/>
    </row>
    <row r="9" spans="1:8" ht="30" customHeight="1" x14ac:dyDescent="0.2">
      <c r="A9" s="17" t="s">
        <v>962</v>
      </c>
      <c r="B9" s="17" t="s">
        <v>963</v>
      </c>
      <c r="C9" s="18" t="s">
        <v>964</v>
      </c>
      <c r="D9" s="19" t="s">
        <v>965</v>
      </c>
      <c r="E9" s="29">
        <v>1</v>
      </c>
      <c r="F9" s="21" t="s">
        <v>181</v>
      </c>
      <c r="G9" s="19"/>
      <c r="H9" s="19"/>
    </row>
    <row r="10" spans="1:8" ht="30" customHeight="1" x14ac:dyDescent="0.2">
      <c r="A10" s="24" t="s">
        <v>962</v>
      </c>
      <c r="B10" s="24" t="s">
        <v>963</v>
      </c>
      <c r="C10" s="25" t="s">
        <v>966</v>
      </c>
      <c r="D10" s="26" t="s">
        <v>967</v>
      </c>
      <c r="E10" s="20">
        <v>2</v>
      </c>
      <c r="F10" s="21" t="s">
        <v>181</v>
      </c>
      <c r="G10" s="26"/>
      <c r="H10" s="26"/>
    </row>
    <row r="11" spans="1:8" ht="30" customHeight="1" x14ac:dyDescent="0.2">
      <c r="A11" s="17" t="s">
        <v>962</v>
      </c>
      <c r="B11" s="17" t="s">
        <v>963</v>
      </c>
      <c r="C11" s="18" t="s">
        <v>968</v>
      </c>
      <c r="D11" s="19" t="s">
        <v>969</v>
      </c>
      <c r="E11" s="20">
        <v>2</v>
      </c>
      <c r="F11" s="21" t="s">
        <v>181</v>
      </c>
      <c r="G11" s="19"/>
      <c r="H11" s="19"/>
    </row>
    <row r="12" spans="1:8" ht="30" customHeight="1" x14ac:dyDescent="0.2">
      <c r="A12" s="24" t="s">
        <v>962</v>
      </c>
      <c r="B12" s="24" t="s">
        <v>963</v>
      </c>
      <c r="C12" s="25" t="s">
        <v>970</v>
      </c>
      <c r="D12" s="26" t="s">
        <v>971</v>
      </c>
      <c r="E12" s="30">
        <v>3</v>
      </c>
      <c r="F12" s="21" t="s">
        <v>181</v>
      </c>
      <c r="G12" s="26"/>
      <c r="H12" s="26"/>
    </row>
    <row r="13" spans="1:8" ht="30" customHeight="1" x14ac:dyDescent="0.2">
      <c r="A13" s="17" t="s">
        <v>962</v>
      </c>
      <c r="B13" s="17" t="s">
        <v>963</v>
      </c>
      <c r="C13" s="18" t="s">
        <v>972</v>
      </c>
      <c r="D13" s="19" t="s">
        <v>973</v>
      </c>
      <c r="E13" s="30">
        <v>3</v>
      </c>
      <c r="F13" s="21" t="s">
        <v>181</v>
      </c>
      <c r="G13" s="19"/>
      <c r="H13" s="19"/>
    </row>
    <row r="14" spans="1:8" ht="18" customHeight="1" x14ac:dyDescent="0.2">
      <c r="A14" s="16" t="s">
        <v>974</v>
      </c>
      <c r="B14" s="16" t="s">
        <v>975</v>
      </c>
      <c r="C14" s="16"/>
      <c r="D14" s="16"/>
      <c r="E14" s="16"/>
      <c r="F14" s="16"/>
      <c r="G14" s="16"/>
      <c r="H14" s="16"/>
    </row>
    <row r="15" spans="1:8" ht="30" customHeight="1" x14ac:dyDescent="0.2">
      <c r="A15" s="17" t="s">
        <v>974</v>
      </c>
      <c r="B15" s="17" t="s">
        <v>975</v>
      </c>
      <c r="C15" s="18" t="s">
        <v>976</v>
      </c>
      <c r="D15" s="19" t="s">
        <v>977</v>
      </c>
      <c r="E15" s="29">
        <v>1</v>
      </c>
      <c r="F15" s="21" t="s">
        <v>181</v>
      </c>
      <c r="G15" s="19"/>
      <c r="H15" s="19"/>
    </row>
    <row r="16" spans="1:8" ht="30" customHeight="1" x14ac:dyDescent="0.2">
      <c r="A16" s="24" t="s">
        <v>974</v>
      </c>
      <c r="B16" s="24" t="s">
        <v>975</v>
      </c>
      <c r="C16" s="25" t="s">
        <v>978</v>
      </c>
      <c r="D16" s="26" t="s">
        <v>979</v>
      </c>
      <c r="E16" s="20">
        <v>2</v>
      </c>
      <c r="F16" s="21" t="s">
        <v>181</v>
      </c>
      <c r="G16" s="26"/>
      <c r="H16" s="26"/>
    </row>
    <row r="17" spans="1:8" ht="30" customHeight="1" x14ac:dyDescent="0.2">
      <c r="A17" s="17" t="s">
        <v>974</v>
      </c>
      <c r="B17" s="17" t="s">
        <v>975</v>
      </c>
      <c r="C17" s="18" t="s">
        <v>980</v>
      </c>
      <c r="D17" s="19" t="s">
        <v>981</v>
      </c>
      <c r="E17" s="20">
        <v>2</v>
      </c>
      <c r="F17" s="21" t="s">
        <v>181</v>
      </c>
      <c r="G17" s="19"/>
      <c r="H17" s="19"/>
    </row>
    <row r="18" spans="1:8" ht="30" customHeight="1" x14ac:dyDescent="0.2">
      <c r="A18" s="24" t="s">
        <v>974</v>
      </c>
      <c r="B18" s="24" t="s">
        <v>975</v>
      </c>
      <c r="C18" s="25" t="s">
        <v>982</v>
      </c>
      <c r="D18" s="26" t="s">
        <v>983</v>
      </c>
      <c r="E18" s="20">
        <v>2</v>
      </c>
      <c r="F18" s="21" t="s">
        <v>181</v>
      </c>
      <c r="G18" s="26"/>
      <c r="H18" s="26"/>
    </row>
    <row r="19" spans="1:8" ht="30" customHeight="1" x14ac:dyDescent="0.2">
      <c r="A19" s="17" t="s">
        <v>974</v>
      </c>
      <c r="B19" s="17" t="s">
        <v>975</v>
      </c>
      <c r="C19" s="18" t="s">
        <v>984</v>
      </c>
      <c r="D19" s="19" t="s">
        <v>985</v>
      </c>
      <c r="E19" s="20">
        <v>2</v>
      </c>
      <c r="F19" s="21" t="s">
        <v>181</v>
      </c>
      <c r="G19" s="19"/>
      <c r="H19" s="19"/>
    </row>
    <row r="20" spans="1:8" ht="30" customHeight="1" x14ac:dyDescent="0.2">
      <c r="A20" s="24" t="s">
        <v>974</v>
      </c>
      <c r="B20" s="24" t="s">
        <v>975</v>
      </c>
      <c r="C20" s="25" t="s">
        <v>986</v>
      </c>
      <c r="D20" s="26" t="s">
        <v>987</v>
      </c>
      <c r="E20" s="20">
        <v>2</v>
      </c>
      <c r="F20" s="21" t="s">
        <v>181</v>
      </c>
      <c r="G20" s="26"/>
      <c r="H20" s="26"/>
    </row>
    <row r="21" spans="1:8" ht="30" customHeight="1" x14ac:dyDescent="0.2">
      <c r="A21" s="17" t="s">
        <v>974</v>
      </c>
      <c r="B21" s="17" t="s">
        <v>975</v>
      </c>
      <c r="C21" s="18" t="s">
        <v>988</v>
      </c>
      <c r="D21" s="19" t="s">
        <v>989</v>
      </c>
      <c r="E21" s="20">
        <v>2</v>
      </c>
      <c r="F21" s="21" t="s">
        <v>181</v>
      </c>
      <c r="G21" s="19"/>
      <c r="H21" s="19"/>
    </row>
    <row r="22" spans="1:8" ht="18" customHeight="1" x14ac:dyDescent="0.2">
      <c r="A22" s="16" t="s">
        <v>990</v>
      </c>
      <c r="B22" s="16" t="s">
        <v>991</v>
      </c>
      <c r="C22" s="16"/>
      <c r="D22" s="16"/>
      <c r="E22" s="16"/>
      <c r="F22" s="16"/>
      <c r="G22" s="16"/>
      <c r="H22" s="16"/>
    </row>
    <row r="23" spans="1:8" ht="30" customHeight="1" x14ac:dyDescent="0.2">
      <c r="A23" s="17" t="s">
        <v>990</v>
      </c>
      <c r="B23" s="17" t="s">
        <v>991</v>
      </c>
      <c r="C23" s="18" t="s">
        <v>992</v>
      </c>
      <c r="D23" s="19" t="s">
        <v>993</v>
      </c>
      <c r="E23" s="30">
        <v>3</v>
      </c>
      <c r="F23" s="21" t="s">
        <v>181</v>
      </c>
      <c r="G23" s="19"/>
      <c r="H23" s="19"/>
    </row>
    <row r="24" spans="1:8" ht="30" customHeight="1" x14ac:dyDescent="0.2">
      <c r="A24" s="24" t="s">
        <v>990</v>
      </c>
      <c r="B24" s="24" t="s">
        <v>991</v>
      </c>
      <c r="C24" s="25" t="s">
        <v>994</v>
      </c>
      <c r="D24" s="26" t="s">
        <v>995</v>
      </c>
      <c r="E24" s="30">
        <v>3</v>
      </c>
      <c r="F24" s="21" t="s">
        <v>181</v>
      </c>
      <c r="G24" s="26"/>
      <c r="H24" s="26"/>
    </row>
    <row r="25" spans="1:8" ht="30" customHeight="1" x14ac:dyDescent="0.2">
      <c r="A25" s="17" t="s">
        <v>990</v>
      </c>
      <c r="B25" s="17" t="s">
        <v>991</v>
      </c>
      <c r="C25" s="18" t="s">
        <v>996</v>
      </c>
      <c r="D25" s="19" t="s">
        <v>997</v>
      </c>
      <c r="E25" s="30">
        <v>3</v>
      </c>
      <c r="F25" s="21" t="s">
        <v>181</v>
      </c>
      <c r="G25" s="19"/>
      <c r="H25" s="19"/>
    </row>
    <row r="26" spans="1:8" ht="30" customHeight="1" x14ac:dyDescent="0.2">
      <c r="A26" s="24" t="s">
        <v>990</v>
      </c>
      <c r="B26" s="24" t="s">
        <v>991</v>
      </c>
      <c r="C26" s="25" t="s">
        <v>998</v>
      </c>
      <c r="D26" s="26" t="s">
        <v>999</v>
      </c>
      <c r="E26" s="30">
        <v>3</v>
      </c>
      <c r="F26" s="21" t="s">
        <v>181</v>
      </c>
      <c r="G26" s="26"/>
      <c r="H26" s="2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73" zoomScaleNormal="73"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5" t="s">
        <v>33</v>
      </c>
      <c r="B1" s="15" t="s">
        <v>34</v>
      </c>
      <c r="C1" s="15" t="s">
        <v>35</v>
      </c>
      <c r="D1" s="15" t="s">
        <v>36</v>
      </c>
      <c r="E1" s="15" t="s">
        <v>37</v>
      </c>
      <c r="F1" s="15" t="s">
        <v>38</v>
      </c>
      <c r="G1" s="15" t="s">
        <v>39</v>
      </c>
      <c r="H1" s="15" t="s">
        <v>40</v>
      </c>
    </row>
    <row r="2" spans="1:8" ht="18" customHeight="1" x14ac:dyDescent="0.2">
      <c r="A2" s="16" t="s">
        <v>1000</v>
      </c>
      <c r="B2" s="16" t="s">
        <v>1001</v>
      </c>
      <c r="C2" s="16"/>
      <c r="D2" s="16"/>
      <c r="E2" s="16"/>
      <c r="F2" s="16"/>
      <c r="G2" s="16"/>
      <c r="H2" s="16"/>
    </row>
    <row r="3" spans="1:8" ht="30" customHeight="1" x14ac:dyDescent="0.2">
      <c r="A3" s="17" t="s">
        <v>1000</v>
      </c>
      <c r="B3" s="17" t="s">
        <v>1001</v>
      </c>
      <c r="C3" s="18" t="s">
        <v>1002</v>
      </c>
      <c r="D3" s="19" t="s">
        <v>1003</v>
      </c>
      <c r="E3" s="20">
        <v>2</v>
      </c>
      <c r="F3" s="21" t="s">
        <v>181</v>
      </c>
      <c r="G3" s="19"/>
      <c r="H3" s="19"/>
    </row>
    <row r="4" spans="1:8" ht="18" customHeight="1" x14ac:dyDescent="0.2">
      <c r="A4" s="16" t="s">
        <v>1004</v>
      </c>
      <c r="B4" s="16" t="s">
        <v>1005</v>
      </c>
      <c r="C4" s="16"/>
      <c r="D4" s="16"/>
      <c r="E4" s="16"/>
      <c r="F4" s="16"/>
      <c r="G4" s="16"/>
      <c r="H4" s="16"/>
    </row>
    <row r="5" spans="1:8" ht="30" customHeight="1" x14ac:dyDescent="0.2">
      <c r="A5" s="17" t="s">
        <v>1004</v>
      </c>
      <c r="B5" s="17" t="s">
        <v>1005</v>
      </c>
      <c r="C5" s="18" t="s">
        <v>1006</v>
      </c>
      <c r="D5" s="19" t="s">
        <v>1007</v>
      </c>
      <c r="E5" s="20">
        <v>2</v>
      </c>
      <c r="F5" s="21" t="s">
        <v>181</v>
      </c>
      <c r="G5" s="19"/>
      <c r="H5" s="19"/>
    </row>
    <row r="6" spans="1:8" ht="30" customHeight="1" x14ac:dyDescent="0.2">
      <c r="A6" s="24" t="s">
        <v>1004</v>
      </c>
      <c r="B6" s="24" t="s">
        <v>1005</v>
      </c>
      <c r="C6" s="25" t="s">
        <v>1008</v>
      </c>
      <c r="D6" s="26" t="s">
        <v>1009</v>
      </c>
      <c r="E6" s="20">
        <v>2</v>
      </c>
      <c r="F6" s="21" t="s">
        <v>181</v>
      </c>
      <c r="G6" s="26"/>
      <c r="H6" s="26"/>
    </row>
    <row r="7" spans="1:8" ht="30" customHeight="1" x14ac:dyDescent="0.2">
      <c r="A7" s="17" t="s">
        <v>1004</v>
      </c>
      <c r="B7" s="17" t="s">
        <v>1005</v>
      </c>
      <c r="C7" s="18" t="s">
        <v>1010</v>
      </c>
      <c r="D7" s="19" t="s">
        <v>1011</v>
      </c>
      <c r="E7" s="20">
        <v>2</v>
      </c>
      <c r="F7" s="21" t="s">
        <v>181</v>
      </c>
      <c r="G7" s="19"/>
      <c r="H7" s="19"/>
    </row>
    <row r="8" spans="1:8" ht="30" customHeight="1" x14ac:dyDescent="0.2">
      <c r="A8" s="24" t="s">
        <v>1004</v>
      </c>
      <c r="B8" s="24" t="s">
        <v>1005</v>
      </c>
      <c r="C8" s="25" t="s">
        <v>1012</v>
      </c>
      <c r="D8" s="26" t="s">
        <v>1013</v>
      </c>
      <c r="E8" s="20">
        <v>2</v>
      </c>
      <c r="F8" s="21" t="s">
        <v>181</v>
      </c>
      <c r="G8" s="26"/>
      <c r="H8" s="26"/>
    </row>
    <row r="9" spans="1:8" ht="30" customHeight="1" x14ac:dyDescent="0.2">
      <c r="A9" s="17" t="s">
        <v>1004</v>
      </c>
      <c r="B9" s="17" t="s">
        <v>1005</v>
      </c>
      <c r="C9" s="18" t="s">
        <v>1014</v>
      </c>
      <c r="D9" s="19" t="s">
        <v>1015</v>
      </c>
      <c r="E9" s="20">
        <v>2</v>
      </c>
      <c r="F9" s="21" t="s">
        <v>181</v>
      </c>
      <c r="G9" s="19"/>
      <c r="H9" s="19"/>
    </row>
    <row r="10" spans="1:8" ht="18" customHeight="1" x14ac:dyDescent="0.2">
      <c r="A10" s="16" t="s">
        <v>1016</v>
      </c>
      <c r="B10" s="16" t="s">
        <v>1017</v>
      </c>
      <c r="C10" s="16"/>
      <c r="D10" s="16"/>
      <c r="E10" s="16"/>
      <c r="F10" s="16"/>
      <c r="G10" s="16"/>
      <c r="H10" s="16"/>
    </row>
    <row r="11" spans="1:8" ht="30" customHeight="1" x14ac:dyDescent="0.2">
      <c r="A11" s="17" t="s">
        <v>1016</v>
      </c>
      <c r="B11" s="17" t="s">
        <v>1017</v>
      </c>
      <c r="C11" s="18" t="s">
        <v>1018</v>
      </c>
      <c r="D11" s="19" t="s">
        <v>1019</v>
      </c>
      <c r="E11" s="20">
        <v>2</v>
      </c>
      <c r="F11" s="21" t="s">
        <v>181</v>
      </c>
      <c r="G11" s="19"/>
      <c r="H11" s="19"/>
    </row>
    <row r="12" spans="1:8" ht="30" customHeight="1" x14ac:dyDescent="0.2">
      <c r="A12" s="24" t="s">
        <v>1016</v>
      </c>
      <c r="B12" s="24" t="s">
        <v>1017</v>
      </c>
      <c r="C12" s="25" t="s">
        <v>1020</v>
      </c>
      <c r="D12" s="26" t="s">
        <v>1021</v>
      </c>
      <c r="E12" s="20">
        <v>2</v>
      </c>
      <c r="F12" s="21" t="s">
        <v>181</v>
      </c>
      <c r="G12" s="26"/>
      <c r="H12" s="26"/>
    </row>
    <row r="13" spans="1:8" ht="30" customHeight="1" x14ac:dyDescent="0.2">
      <c r="A13" s="17" t="s">
        <v>1016</v>
      </c>
      <c r="B13" s="17" t="s">
        <v>1017</v>
      </c>
      <c r="C13" s="18" t="s">
        <v>1022</v>
      </c>
      <c r="D13" s="19" t="s">
        <v>1023</v>
      </c>
      <c r="E13" s="20">
        <v>2</v>
      </c>
      <c r="F13" s="21" t="s">
        <v>181</v>
      </c>
      <c r="G13" s="19"/>
      <c r="H13" s="19"/>
    </row>
    <row r="14" spans="1:8" ht="30" customHeight="1" x14ac:dyDescent="0.2">
      <c r="A14" s="24" t="s">
        <v>1016</v>
      </c>
      <c r="B14" s="24" t="s">
        <v>1017</v>
      </c>
      <c r="C14" s="25" t="s">
        <v>1024</v>
      </c>
      <c r="D14" s="26" t="s">
        <v>1025</v>
      </c>
      <c r="E14" s="20">
        <v>2</v>
      </c>
      <c r="F14" s="21" t="s">
        <v>181</v>
      </c>
      <c r="G14" s="26"/>
      <c r="H14" s="26"/>
    </row>
    <row r="15" spans="1:8" ht="18" customHeight="1" x14ac:dyDescent="0.2">
      <c r="A15" s="16" t="s">
        <v>1026</v>
      </c>
      <c r="B15" s="16" t="s">
        <v>1027</v>
      </c>
      <c r="C15" s="16"/>
      <c r="D15" s="16"/>
      <c r="E15" s="16"/>
      <c r="F15" s="16"/>
      <c r="G15" s="16"/>
      <c r="H15" s="16"/>
    </row>
    <row r="16" spans="1:8" ht="30" customHeight="1" x14ac:dyDescent="0.2">
      <c r="A16" s="17" t="s">
        <v>1026</v>
      </c>
      <c r="B16" s="17" t="s">
        <v>1027</v>
      </c>
      <c r="C16" s="18" t="s">
        <v>1028</v>
      </c>
      <c r="D16" s="19" t="s">
        <v>1029</v>
      </c>
      <c r="E16" s="20">
        <v>2</v>
      </c>
      <c r="F16" s="21" t="s">
        <v>181</v>
      </c>
      <c r="G16" s="19"/>
      <c r="H16" s="19"/>
    </row>
    <row r="17" spans="1:8" ht="30" customHeight="1" x14ac:dyDescent="0.2">
      <c r="A17" s="24" t="s">
        <v>1026</v>
      </c>
      <c r="B17" s="24" t="s">
        <v>1027</v>
      </c>
      <c r="C17" s="25" t="s">
        <v>1030</v>
      </c>
      <c r="D17" s="26" t="s">
        <v>1031</v>
      </c>
      <c r="E17" s="20">
        <v>2</v>
      </c>
      <c r="F17" s="21" t="s">
        <v>181</v>
      </c>
      <c r="G17" s="26"/>
      <c r="H17" s="26"/>
    </row>
    <row r="18" spans="1:8" ht="30" customHeight="1" x14ac:dyDescent="0.2">
      <c r="A18" s="17" t="s">
        <v>1026</v>
      </c>
      <c r="B18" s="17" t="s">
        <v>1027</v>
      </c>
      <c r="C18" s="18" t="s">
        <v>1032</v>
      </c>
      <c r="D18" s="19" t="s">
        <v>1033</v>
      </c>
      <c r="E18" s="20">
        <v>2</v>
      </c>
      <c r="F18" s="21" t="s">
        <v>181</v>
      </c>
      <c r="G18" s="19"/>
      <c r="H18" s="19"/>
    </row>
    <row r="19" spans="1:8" ht="18" customHeight="1" x14ac:dyDescent="0.2">
      <c r="A19" s="16" t="s">
        <v>1034</v>
      </c>
      <c r="B19" s="16" t="s">
        <v>1035</v>
      </c>
      <c r="C19" s="16"/>
      <c r="D19" s="16"/>
      <c r="E19" s="16"/>
      <c r="F19" s="16"/>
      <c r="G19" s="16"/>
      <c r="H19" s="16"/>
    </row>
    <row r="20" spans="1:8" ht="30" customHeight="1" x14ac:dyDescent="0.2">
      <c r="A20" s="17" t="s">
        <v>1034</v>
      </c>
      <c r="B20" s="17" t="s">
        <v>1035</v>
      </c>
      <c r="C20" s="18" t="s">
        <v>1036</v>
      </c>
      <c r="D20" s="19" t="s">
        <v>1037</v>
      </c>
      <c r="E20" s="20">
        <v>2</v>
      </c>
      <c r="F20" s="21" t="s">
        <v>181</v>
      </c>
      <c r="G20" s="19"/>
      <c r="H20" s="19"/>
    </row>
    <row r="21" spans="1:8" ht="30" customHeight="1" x14ac:dyDescent="0.2">
      <c r="A21" s="24" t="s">
        <v>1034</v>
      </c>
      <c r="B21" s="24" t="s">
        <v>1035</v>
      </c>
      <c r="C21" s="25" t="s">
        <v>1038</v>
      </c>
      <c r="D21" s="26" t="s">
        <v>1039</v>
      </c>
      <c r="E21" s="20">
        <v>2</v>
      </c>
      <c r="F21" s="21" t="s">
        <v>181</v>
      </c>
      <c r="G21" s="26"/>
      <c r="H21" s="26"/>
    </row>
    <row r="22" spans="1:8" ht="30" customHeight="1" x14ac:dyDescent="0.2">
      <c r="A22" s="17" t="s">
        <v>1034</v>
      </c>
      <c r="B22" s="17" t="s">
        <v>1035</v>
      </c>
      <c r="C22" s="18" t="s">
        <v>1040</v>
      </c>
      <c r="D22" s="19" t="s">
        <v>1041</v>
      </c>
      <c r="E22" s="20">
        <v>2</v>
      </c>
      <c r="F22" s="21" t="s">
        <v>181</v>
      </c>
      <c r="G22" s="19"/>
      <c r="H22" s="19"/>
    </row>
    <row r="23" spans="1:8" ht="30" customHeight="1" x14ac:dyDescent="0.2">
      <c r="A23" s="24" t="s">
        <v>1034</v>
      </c>
      <c r="B23" s="24" t="s">
        <v>1035</v>
      </c>
      <c r="C23" s="25" t="s">
        <v>1042</v>
      </c>
      <c r="D23" s="26" t="s">
        <v>1043</v>
      </c>
      <c r="E23" s="30">
        <v>3</v>
      </c>
      <c r="F23" s="21" t="s">
        <v>181</v>
      </c>
      <c r="G23" s="26"/>
      <c r="H23" s="26"/>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3" zoomScaleNormal="73"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5" t="s">
        <v>33</v>
      </c>
      <c r="B1" s="15" t="s">
        <v>34</v>
      </c>
      <c r="C1" s="15" t="s">
        <v>35</v>
      </c>
      <c r="D1" s="15" t="s">
        <v>36</v>
      </c>
      <c r="E1" s="15" t="s">
        <v>37</v>
      </c>
      <c r="F1" s="15" t="s">
        <v>38</v>
      </c>
      <c r="G1" s="15" t="s">
        <v>39</v>
      </c>
      <c r="H1" s="15" t="s">
        <v>40</v>
      </c>
    </row>
    <row r="2" spans="1:8" ht="18" customHeight="1" x14ac:dyDescent="0.2">
      <c r="A2" s="16" t="s">
        <v>1044</v>
      </c>
      <c r="B2" s="16" t="s">
        <v>1045</v>
      </c>
      <c r="C2" s="16"/>
      <c r="D2" s="16"/>
      <c r="E2" s="16"/>
      <c r="F2" s="16"/>
      <c r="G2" s="16"/>
      <c r="H2" s="16"/>
    </row>
    <row r="3" spans="1:8" ht="30" customHeight="1" x14ac:dyDescent="0.2">
      <c r="A3" s="17" t="s">
        <v>1044</v>
      </c>
      <c r="B3" s="17" t="s">
        <v>1045</v>
      </c>
      <c r="C3" s="18" t="s">
        <v>1046</v>
      </c>
      <c r="D3" s="19" t="s">
        <v>1047</v>
      </c>
      <c r="E3" s="20">
        <v>2</v>
      </c>
      <c r="F3" s="21" t="s">
        <v>181</v>
      </c>
      <c r="G3" s="19"/>
      <c r="H3" s="19"/>
    </row>
    <row r="4" spans="1:8" ht="30" customHeight="1" x14ac:dyDescent="0.2">
      <c r="A4" s="24" t="s">
        <v>1044</v>
      </c>
      <c r="B4" s="24" t="s">
        <v>1045</v>
      </c>
      <c r="C4" s="25" t="s">
        <v>1048</v>
      </c>
      <c r="D4" s="26" t="s">
        <v>1049</v>
      </c>
      <c r="E4" s="30">
        <v>3</v>
      </c>
      <c r="F4" s="21" t="s">
        <v>181</v>
      </c>
      <c r="G4" s="26"/>
      <c r="H4" s="26"/>
    </row>
    <row r="5" spans="1:8" ht="18" customHeight="1" x14ac:dyDescent="0.2">
      <c r="A5" s="16" t="s">
        <v>1050</v>
      </c>
      <c r="B5" s="16" t="s">
        <v>1051</v>
      </c>
      <c r="C5" s="16"/>
      <c r="D5" s="16"/>
      <c r="E5" s="16"/>
      <c r="F5" s="16"/>
      <c r="G5" s="16"/>
      <c r="H5" s="16"/>
    </row>
    <row r="6" spans="1:8" ht="30" customHeight="1" x14ac:dyDescent="0.2">
      <c r="A6" s="17" t="s">
        <v>1050</v>
      </c>
      <c r="B6" s="17" t="s">
        <v>1051</v>
      </c>
      <c r="C6" s="18" t="s">
        <v>1052</v>
      </c>
      <c r="D6" s="19" t="s">
        <v>1053</v>
      </c>
      <c r="E6" s="20">
        <v>2</v>
      </c>
      <c r="F6" s="21" t="s">
        <v>181</v>
      </c>
      <c r="G6" s="19"/>
      <c r="H6" s="19"/>
    </row>
    <row r="7" spans="1:8" ht="30" customHeight="1" x14ac:dyDescent="0.2">
      <c r="A7" s="24" t="s">
        <v>1050</v>
      </c>
      <c r="B7" s="24" t="s">
        <v>1051</v>
      </c>
      <c r="C7" s="25" t="s">
        <v>1054</v>
      </c>
      <c r="D7" s="26" t="s">
        <v>1055</v>
      </c>
      <c r="E7" s="20">
        <v>2</v>
      </c>
      <c r="F7" s="21" t="s">
        <v>181</v>
      </c>
      <c r="G7" s="26"/>
      <c r="H7" s="26"/>
    </row>
    <row r="8" spans="1:8" ht="30" customHeight="1" x14ac:dyDescent="0.2">
      <c r="A8" s="17" t="s">
        <v>1050</v>
      </c>
      <c r="B8" s="17" t="s">
        <v>1051</v>
      </c>
      <c r="C8" s="18" t="s">
        <v>1056</v>
      </c>
      <c r="D8" s="19" t="s">
        <v>1057</v>
      </c>
      <c r="E8" s="20">
        <v>2</v>
      </c>
      <c r="F8" s="21" t="s">
        <v>181</v>
      </c>
      <c r="G8" s="19"/>
      <c r="H8" s="19"/>
    </row>
    <row r="9" spans="1:8" ht="30" customHeight="1" x14ac:dyDescent="0.2">
      <c r="A9" s="24" t="s">
        <v>1050</v>
      </c>
      <c r="B9" s="24" t="s">
        <v>1051</v>
      </c>
      <c r="C9" s="25" t="s">
        <v>1058</v>
      </c>
      <c r="D9" s="26" t="s">
        <v>1059</v>
      </c>
      <c r="E9" s="20">
        <v>2</v>
      </c>
      <c r="F9" s="21" t="s">
        <v>181</v>
      </c>
      <c r="G9" s="26"/>
      <c r="H9" s="26"/>
    </row>
    <row r="10" spans="1:8" ht="30" customHeight="1" x14ac:dyDescent="0.2">
      <c r="A10" s="17" t="s">
        <v>1050</v>
      </c>
      <c r="B10" s="17" t="s">
        <v>1051</v>
      </c>
      <c r="C10" s="18" t="s">
        <v>1060</v>
      </c>
      <c r="D10" s="19" t="s">
        <v>1061</v>
      </c>
      <c r="E10" s="30">
        <v>3</v>
      </c>
      <c r="F10" s="21" t="s">
        <v>181</v>
      </c>
      <c r="G10" s="19"/>
      <c r="H10" s="19"/>
    </row>
    <row r="11" spans="1:8" ht="30" customHeight="1" x14ac:dyDescent="0.2">
      <c r="A11" s="24" t="s">
        <v>1050</v>
      </c>
      <c r="B11" s="24" t="s">
        <v>1051</v>
      </c>
      <c r="C11" s="25" t="s">
        <v>1062</v>
      </c>
      <c r="D11" s="26" t="s">
        <v>1063</v>
      </c>
      <c r="E11" s="30">
        <v>3</v>
      </c>
      <c r="F11" s="21" t="s">
        <v>181</v>
      </c>
      <c r="G11" s="26"/>
      <c r="H11" s="26"/>
    </row>
    <row r="12" spans="1:8" ht="30" customHeight="1" x14ac:dyDescent="0.2">
      <c r="A12" s="17" t="s">
        <v>1050</v>
      </c>
      <c r="B12" s="17" t="s">
        <v>1051</v>
      </c>
      <c r="C12" s="18" t="s">
        <v>1064</v>
      </c>
      <c r="D12" s="19" t="s">
        <v>1065</v>
      </c>
      <c r="E12" s="30">
        <v>3</v>
      </c>
      <c r="F12" s="21" t="s">
        <v>181</v>
      </c>
      <c r="G12" s="19"/>
      <c r="H12" s="19"/>
    </row>
    <row r="13" spans="1:8" ht="30" customHeight="1" x14ac:dyDescent="0.2">
      <c r="A13" s="24" t="s">
        <v>1050</v>
      </c>
      <c r="B13" s="24" t="s">
        <v>1051</v>
      </c>
      <c r="C13" s="25" t="s">
        <v>1066</v>
      </c>
      <c r="D13" s="26" t="s">
        <v>1067</v>
      </c>
      <c r="E13" s="30">
        <v>3</v>
      </c>
      <c r="F13" s="21" t="s">
        <v>181</v>
      </c>
      <c r="G13" s="26"/>
      <c r="H13" s="26"/>
    </row>
    <row r="14" spans="1:8" ht="18" customHeight="1" x14ac:dyDescent="0.2">
      <c r="A14" s="16" t="s">
        <v>1068</v>
      </c>
      <c r="B14" s="16" t="s">
        <v>1069</v>
      </c>
      <c r="C14" s="16"/>
      <c r="D14" s="16"/>
      <c r="E14" s="16"/>
      <c r="F14" s="16"/>
      <c r="G14" s="16"/>
      <c r="H14" s="16"/>
    </row>
    <row r="15" spans="1:8" ht="30" customHeight="1" x14ac:dyDescent="0.2">
      <c r="A15" s="17" t="s">
        <v>1068</v>
      </c>
      <c r="B15" s="17" t="s">
        <v>1069</v>
      </c>
      <c r="C15" s="18" t="s">
        <v>1070</v>
      </c>
      <c r="D15" s="19" t="s">
        <v>1071</v>
      </c>
      <c r="E15" s="20">
        <v>2</v>
      </c>
      <c r="F15" s="21" t="s">
        <v>181</v>
      </c>
      <c r="G15" s="19"/>
      <c r="H15" s="19"/>
    </row>
    <row r="16" spans="1:8" ht="30" customHeight="1" x14ac:dyDescent="0.2">
      <c r="A16" s="24" t="s">
        <v>1068</v>
      </c>
      <c r="B16" s="24" t="s">
        <v>1069</v>
      </c>
      <c r="C16" s="25" t="s">
        <v>1072</v>
      </c>
      <c r="D16" s="26" t="s">
        <v>1073</v>
      </c>
      <c r="E16" s="20">
        <v>2</v>
      </c>
      <c r="F16" s="21" t="s">
        <v>181</v>
      </c>
      <c r="G16" s="26"/>
      <c r="H16" s="2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345</TotalTime>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Milan Marcinco</cp:lastModifiedBy>
  <cp:revision>9</cp:revision>
  <dcterms:created xsi:type="dcterms:W3CDTF">2026-03-04T10:14:28Z</dcterms:created>
  <dcterms:modified xsi:type="dcterms:W3CDTF">2026-05-18T18:17:27Z</dcterms:modified>
  <dc:language>pt-PT</dc:language>
</cp:coreProperties>
</file>